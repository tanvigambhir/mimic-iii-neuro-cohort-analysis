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vigambhir/Documents/SQL/neuro_analysis_data/"/>
    </mc:Choice>
  </mc:AlternateContent>
  <xr:revisionPtr revIDLastSave="0" documentId="8_{EC9C5321-EC9E-7549-9D8A-398F1BA1741E}" xr6:coauthVersionLast="47" xr6:coauthVersionMax="47" xr10:uidLastSave="{00000000-0000-0000-0000-000000000000}"/>
  <bookViews>
    <workbookView xWindow="0" yWindow="740" windowWidth="29400" windowHeight="18380" xr2:uid="{3F25B4BD-48A8-9148-A27A-1F501E397F79}"/>
  </bookViews>
  <sheets>
    <sheet name="admissions" sheetId="1" r:id="rId1"/>
    <sheet name="QC_summary" sheetId="2" r:id="rId2"/>
    <sheet name="LOS by Neuro Flag and Gender" sheetId="3" r:id="rId3"/>
    <sheet name="Reference" sheetId="4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B11" i="2"/>
  <c r="B10" i="2"/>
  <c r="B9" i="2"/>
  <c r="B8" i="2" a="1"/>
  <c r="B8" i="2" s="1"/>
  <c r="K2" i="1"/>
  <c r="K3" i="1"/>
  <c r="B7" i="2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B5" i="2"/>
  <c r="B4" i="2"/>
  <c r="B3" i="2"/>
  <c r="B2" i="2"/>
  <c r="B6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<sst xmlns="http://schemas.openxmlformats.org/spreadsheetml/2006/main" count="164" uniqueCount="33">
  <si>
    <t>hadm_id</t>
  </si>
  <si>
    <t>subject_id</t>
  </si>
  <si>
    <t>gender</t>
  </si>
  <si>
    <t>age_at_admission</t>
  </si>
  <si>
    <t>admittime</t>
  </si>
  <si>
    <t>dischtime</t>
  </si>
  <si>
    <t>hospital_expire_flag</t>
  </si>
  <si>
    <t>total_los</t>
  </si>
  <si>
    <t>neuro_flag</t>
  </si>
  <si>
    <t>F</t>
  </si>
  <si>
    <t>M</t>
  </si>
  <si>
    <t>Column</t>
  </si>
  <si>
    <t>Result</t>
  </si>
  <si>
    <t>Negative total_los count</t>
  </si>
  <si>
    <t>Negative Age Count</t>
  </si>
  <si>
    <t>Max Age at Admission</t>
  </si>
  <si>
    <t>Age Over 100 count</t>
  </si>
  <si>
    <t>age_note</t>
  </si>
  <si>
    <t>Count of above 89</t>
  </si>
  <si>
    <t>Row Labels</t>
  </si>
  <si>
    <t>Grand Total</t>
  </si>
  <si>
    <t>Average of total_los</t>
  </si>
  <si>
    <t>Dischtime before admittime count</t>
  </si>
  <si>
    <t>date_check</t>
  </si>
  <si>
    <t>Duplicate hadm_id count</t>
  </si>
  <si>
    <t>Blank age_at_admission</t>
  </si>
  <si>
    <t>Blank total_los</t>
  </si>
  <si>
    <t>Blank gender</t>
  </si>
  <si>
    <t>flag_value</t>
  </si>
  <si>
    <t>flag_label</t>
  </si>
  <si>
    <t>General ICU</t>
  </si>
  <si>
    <t>Neuro Cohort</t>
  </si>
  <si>
    <t>cohort_label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</si>
</sst>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27" formatCode="m/d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[neuro_analysis.xlsx]LOS by Neuro Flag and Gender!PivotTable1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Total LOS by Cohort and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'LOS by Neuro Flag and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'LOS by Neuro Flag and Gender'!$A$4:$A$10</c:f>
              <c:multiLvlStrCache>
                <c:ptCount val="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0</c:v>
                  </c:pt>
                  <c:pt idx="2">
                    <c:v>1</c:v>
                  </c:pt>
                </c:lvl>
              </c:multiLvlStrCache>
            </c:multiLvlStrRef>
          </c:cat>
          <c:val>
            <c:numRef>
              <c:f>'LOS by Neuro Flag and Gender'!$B$4:$B$10</c:f>
              <c:numCache>
                <c:formatCode>General</c:formatCode>
                <c:ptCount val="4"/>
                <c:pt idx="0">
                  <c:v>5.5937150943396228</c:v>
                </c:pt>
                <c:pt idx="1">
                  <c:v>3.6982432835820878</c:v>
                </c:pt>
                <c:pt idx="2">
                  <c:v>8.7596000000000007</c:v>
                </c:pt>
                <c:pt idx="3">
                  <c:v>2.9091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8-1543-9554-B4DF989F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069232"/>
        <c:axId val="1449070944"/>
      </c:barChart>
      <c:catAx>
        <c:axId val="144906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70944"/>
        <c:crosses val="autoZero"/>
        <c:auto val="1"/>
        <c:lblAlgn val="ctr"/>
        <c:lblOffset val="100"/>
        <c:noMultiLvlLbl val="0"/>
      </c:catAx>
      <c:valAx>
        <c:axId val="144907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6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1</xdr:row>
      <xdr:rowOff>146050</xdr:rowOff>
    </xdr:from>
    <xdr:to>
      <xdr:col>8</xdr:col>
      <xdr:colOff>622300</xdr:colOff>
      <xdr:row>15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44FC7B-711C-6A8E-C967-6EE9FD4D4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vi Gambhir" refreshedDate="46240.615560879633" createdVersion="8" refreshedVersion="8" minRefreshableVersion="3" recordCount="129" xr:uid="{ADC9A99A-AAA2-5349-B05C-EA3F220EA4EA}">
  <cacheSource type="worksheet">
    <worksheetSource name="admissions"/>
  </cacheSource>
  <cacheFields count="10">
    <cacheField name="hadm_id" numFmtId="0">
      <sharedItems containsSemiMixedTypes="0" containsString="0" containsNumber="1" containsInteger="1" minValue="100375" maxValue="199395"/>
    </cacheField>
    <cacheField name="subject_id" numFmtId="0">
      <sharedItems containsSemiMixedTypes="0" containsString="0" containsNumber="1" containsInteger="1" minValue="10006" maxValue="44228"/>
    </cacheField>
    <cacheField name="gender" numFmtId="0">
      <sharedItems count="2">
        <s v="F"/>
        <s v="M"/>
      </sharedItems>
    </cacheField>
    <cacheField name="age_at_admission" numFmtId="0">
      <sharedItems containsSemiMixedTypes="0" containsString="0" containsNumber="1" containsInteger="1" minValue="17" maxValue="300"/>
    </cacheField>
    <cacheField name="admittime" numFmtId="22">
      <sharedItems containsSemiMixedTypes="0" containsNonDate="0" containsDate="1" containsString="0" minDate="2102-08-29T07:15:00" maxDate="2202-10-03T01:45:00"/>
    </cacheField>
    <cacheField name="dischtime" numFmtId="22">
      <sharedItems containsSemiMixedTypes="0" containsNonDate="0" containsDate="1" containsString="0" minDate="2102-09-06T16:20:00" maxDate="2202-10-11T16:30:00"/>
    </cacheField>
    <cacheField name="hospital_expire_flag" numFmtId="0">
      <sharedItems containsSemiMixedTypes="0" containsString="0" containsNumber="1" containsInteger="1" minValue="0" maxValue="1"/>
    </cacheField>
    <cacheField name="total_los" numFmtId="0">
      <sharedItems containsSemiMixedTypes="0" containsString="0" containsNumber="1" minValue="0.10589999999999999" maxValue="35.406500000000001"/>
    </cacheField>
    <cacheField name="neuro_flag" numFmtId="0">
      <sharedItems containsSemiMixedTypes="0" containsString="0" containsNumber="1" containsInteger="1" minValue="0" maxValue="1" count="2">
        <n v="0"/>
        <n v="1"/>
      </sharedItems>
    </cacheField>
    <cacheField name="age_no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100375"/>
    <n v="10056"/>
    <x v="0"/>
    <n v="83"/>
    <d v="2129-05-02T00:12:00"/>
    <d v="2129-05-06T13:40:00"/>
    <n v="0"/>
    <n v="1.0490999999999999"/>
    <x v="0"/>
    <s v="actual"/>
  </r>
  <r>
    <n v="100969"/>
    <n v="42430"/>
    <x v="1"/>
    <n v="80"/>
    <d v="2142-11-26T21:20:00"/>
    <d v="2142-11-30T10:55:00"/>
    <n v="1"/>
    <n v="2.8437000000000001"/>
    <x v="0"/>
    <s v="actual"/>
  </r>
  <r>
    <n v="101361"/>
    <n v="41914"/>
    <x v="1"/>
    <n v="55"/>
    <d v="2145-12-01T18:13:00"/>
    <d v="2145-12-18T17:45:00"/>
    <n v="0"/>
    <n v="12.9903"/>
    <x v="0"/>
    <s v="actual"/>
  </r>
  <r>
    <n v="102203"/>
    <n v="42135"/>
    <x v="1"/>
    <n v="43"/>
    <d v="2127-07-23T15:21:00"/>
    <d v="2127-08-04T16:00:00"/>
    <n v="0"/>
    <n v="1.2606999999999999"/>
    <x v="0"/>
    <s v="actual"/>
  </r>
  <r>
    <n v="103379"/>
    <n v="44228"/>
    <x v="0"/>
    <n v="58"/>
    <d v="2170-12-15T03:14:00"/>
    <d v="2170-12-24T18:00:00"/>
    <n v="0"/>
    <n v="4.6191000000000004"/>
    <x v="0"/>
    <s v="actual"/>
  </r>
  <r>
    <n v="103770"/>
    <n v="10026"/>
    <x v="0"/>
    <n v="299"/>
    <d v="2195-05-17T07:39:00"/>
    <d v="2195-05-24T11:45:00"/>
    <n v="0"/>
    <n v="2.4056000000000002"/>
    <x v="0"/>
    <s v="89+ (obscured)"/>
  </r>
  <r>
    <n v="104697"/>
    <n v="40612"/>
    <x v="0"/>
    <n v="86"/>
    <d v="2159-11-17T03:28:00"/>
    <d v="2159-11-22T14:15:00"/>
    <n v="0"/>
    <n v="3.5465"/>
    <x v="1"/>
    <s v="actual"/>
  </r>
  <r>
    <n v="105150"/>
    <n v="10117"/>
    <x v="0"/>
    <n v="66"/>
    <d v="2138-11-09T18:08:00"/>
    <d v="2138-11-18T23:13:00"/>
    <n v="1"/>
    <n v="2.6745000000000001"/>
    <x v="0"/>
    <s v="actual"/>
  </r>
  <r>
    <n v="105331"/>
    <n v="10011"/>
    <x v="0"/>
    <n v="36"/>
    <d v="2126-08-14T22:32:00"/>
    <d v="2126-08-28T18:59:00"/>
    <n v="1"/>
    <n v="13.8507"/>
    <x v="0"/>
    <s v="actual"/>
  </r>
  <r>
    <n v="107689"/>
    <n v="41983"/>
    <x v="0"/>
    <n v="299"/>
    <d v="2151-09-12T17:04:00"/>
    <d v="2151-09-15T00:45:00"/>
    <n v="1"/>
    <n v="1.9177999999999999"/>
    <x v="0"/>
    <s v="89+ (obscured)"/>
  </r>
  <r>
    <n v="109698"/>
    <n v="40286"/>
    <x v="0"/>
    <n v="299"/>
    <d v="2193-10-15T07:15:00"/>
    <d v="2193-10-20T13:18:00"/>
    <n v="0"/>
    <n v="1.7299"/>
    <x v="0"/>
    <s v="89+ (obscured)"/>
  </r>
  <r>
    <n v="110244"/>
    <n v="10035"/>
    <x v="1"/>
    <n v="75"/>
    <d v="2129-03-03T16:06:00"/>
    <d v="2129-03-07T18:19:00"/>
    <n v="0"/>
    <n v="1.3754999999999999"/>
    <x v="0"/>
    <s v="actual"/>
  </r>
  <r>
    <n v="110958"/>
    <n v="43927"/>
    <x v="0"/>
    <n v="71"/>
    <d v="2175-10-02T12:30:00"/>
    <d v="2175-10-06T15:00:00"/>
    <n v="0"/>
    <n v="1.3152999999999999"/>
    <x v="0"/>
    <s v="actual"/>
  </r>
  <r>
    <n v="111115"/>
    <n v="10038"/>
    <x v="0"/>
    <n v="88"/>
    <d v="2144-02-09T17:53:00"/>
    <d v="2144-02-21T13:30:00"/>
    <n v="0"/>
    <n v="3.3856999999999999"/>
    <x v="0"/>
    <s v="actual"/>
  </r>
  <r>
    <n v="111761"/>
    <n v="10064"/>
    <x v="1"/>
    <n v="68"/>
    <d v="2127-03-19T14:39:00"/>
    <d v="2127-03-19T18:09:00"/>
    <n v="1"/>
    <n v="0.20699999999999999"/>
    <x v="0"/>
    <s v="actual"/>
  </r>
  <r>
    <n v="112662"/>
    <n v="43735"/>
    <x v="1"/>
    <n v="82"/>
    <d v="2128-11-04T16:05:00"/>
    <d v="2128-11-09T12:00:00"/>
    <n v="1"/>
    <n v="2.5408999999999899"/>
    <x v="0"/>
    <s v="actual"/>
  </r>
  <r>
    <n v="114648"/>
    <n v="42321"/>
    <x v="0"/>
    <n v="80"/>
    <d v="2121-12-07T20:49:00"/>
    <d v="2121-12-12T16:40:00"/>
    <n v="0"/>
    <n v="1.9120999999999999"/>
    <x v="1"/>
    <s v="actual"/>
  </r>
  <r>
    <n v="114867"/>
    <n v="42412"/>
    <x v="1"/>
    <n v="86"/>
    <d v="2165-12-19T12:19:00"/>
    <d v="2165-12-25T14:20:00"/>
    <n v="0"/>
    <n v="1.7403999999999999"/>
    <x v="0"/>
    <s v="actual"/>
  </r>
  <r>
    <n v="116518"/>
    <n v="40595"/>
    <x v="0"/>
    <n v="76"/>
    <d v="2144-10-15T10:46:00"/>
    <d v="2144-10-24T09:00:00"/>
    <n v="0"/>
    <n v="8.9254999999999995"/>
    <x v="0"/>
    <s v="actual"/>
  </r>
  <r>
    <n v="117105"/>
    <n v="42135"/>
    <x v="1"/>
    <n v="44"/>
    <d v="2127-10-06T21:00:00"/>
    <d v="2127-10-28T12:50:00"/>
    <n v="1"/>
    <n v="21.413599999999999"/>
    <x v="0"/>
    <s v="actual"/>
  </r>
  <r>
    <n v="118192"/>
    <n v="41795"/>
    <x v="1"/>
    <n v="49"/>
    <d v="2145-09-06T08:52:00"/>
    <d v="2145-09-09T16:25:00"/>
    <n v="0"/>
    <n v="1.4011"/>
    <x v="0"/>
    <s v="actual"/>
  </r>
  <r>
    <n v="121860"/>
    <n v="43748"/>
    <x v="1"/>
    <n v="79"/>
    <d v="2179-04-17T13:12:00"/>
    <d v="2179-04-23T12:55:00"/>
    <n v="0"/>
    <n v="4.2466999999999997"/>
    <x v="0"/>
    <s v="actual"/>
  </r>
  <r>
    <n v="122098"/>
    <n v="10059"/>
    <x v="1"/>
    <n v="69"/>
    <d v="2150-08-22T17:33:00"/>
    <d v="2150-08-29T18:20:00"/>
    <n v="1"/>
    <n v="7.1082999999999998"/>
    <x v="0"/>
    <s v="actual"/>
  </r>
  <r>
    <n v="122928"/>
    <n v="10094"/>
    <x v="1"/>
    <n v="300"/>
    <d v="2180-03-15T22:35:00"/>
    <d v="2180-03-20T18:00:00"/>
    <n v="1"/>
    <n v="3.9712000000000001"/>
    <x v="0"/>
    <s v="89+ (obscured)"/>
  </r>
  <r>
    <n v="124073"/>
    <n v="10044"/>
    <x v="0"/>
    <n v="81"/>
    <d v="2152-10-02T16:24:00"/>
    <d v="2152-10-11T15:42:00"/>
    <n v="0"/>
    <n v="4.6178999999999997"/>
    <x v="0"/>
    <s v="actual"/>
  </r>
  <r>
    <n v="125013"/>
    <n v="41976"/>
    <x v="1"/>
    <n v="65"/>
    <d v="2201-09-28T16:47:00"/>
    <d v="2201-10-01T15:53:00"/>
    <n v="0"/>
    <n v="2.9731999999999998"/>
    <x v="0"/>
    <s v="actual"/>
  </r>
  <r>
    <n v="125157"/>
    <n v="44083"/>
    <x v="1"/>
    <n v="54"/>
    <d v="2112-05-04T08:00:00"/>
    <d v="2112-05-11T14:15:00"/>
    <n v="0"/>
    <n v="1.9287000000000001"/>
    <x v="0"/>
    <s v="actual"/>
  </r>
  <r>
    <n v="125449"/>
    <n v="41976"/>
    <x v="1"/>
    <n v="62"/>
    <d v="2198-10-29T06:54:00"/>
    <d v="2198-11-05T15:20:00"/>
    <n v="0"/>
    <n v="2.5802999999999998"/>
    <x v="0"/>
    <s v="actual"/>
  </r>
  <r>
    <n v="126002"/>
    <n v="40655"/>
    <x v="0"/>
    <n v="299"/>
    <d v="2144-07-18T19:32:00"/>
    <d v="2144-07-28T14:41:00"/>
    <n v="0"/>
    <n v="0.71460000000000001"/>
    <x v="0"/>
    <s v="89+ (obscured)"/>
  </r>
  <r>
    <n v="126179"/>
    <n v="40124"/>
    <x v="0"/>
    <n v="66"/>
    <d v="2130-02-04T02:26:00"/>
    <d v="2130-02-10T17:39:00"/>
    <n v="0"/>
    <n v="2.4548999999999999"/>
    <x v="0"/>
    <s v="actual"/>
  </r>
  <r>
    <n v="126949"/>
    <n v="10045"/>
    <x v="0"/>
    <n v="68"/>
    <d v="2129-11-24T00:31:00"/>
    <d v="2129-12-01T01:45:00"/>
    <n v="1"/>
    <n v="6.3033999999999999"/>
    <x v="0"/>
    <s v="actual"/>
  </r>
  <r>
    <n v="127703"/>
    <n v="40277"/>
    <x v="0"/>
    <n v="80"/>
    <d v="2151-08-13T02:23:00"/>
    <d v="2151-08-17T19:00:00"/>
    <n v="0"/>
    <n v="1.262"/>
    <x v="0"/>
    <s v="actual"/>
  </r>
  <r>
    <n v="128293"/>
    <n v="42275"/>
    <x v="1"/>
    <n v="77"/>
    <d v="2135-10-24T20:28:00"/>
    <d v="2135-10-27T17:22:00"/>
    <n v="0"/>
    <n v="0.7974"/>
    <x v="0"/>
    <s v="actual"/>
  </r>
  <r>
    <n v="129273"/>
    <n v="40687"/>
    <x v="0"/>
    <n v="81"/>
    <d v="2155-03-08T02:35:00"/>
    <d v="2155-03-11T15:00:00"/>
    <n v="1"/>
    <n v="1.6694"/>
    <x v="0"/>
    <s v="actual"/>
  </r>
  <r>
    <n v="130681"/>
    <n v="41976"/>
    <x v="1"/>
    <n v="64"/>
    <d v="2200-10-29T20:46:00"/>
    <d v="2200-11-03T18:45:00"/>
    <n v="0"/>
    <n v="4.9261999999999997"/>
    <x v="0"/>
    <s v="actual"/>
  </r>
  <r>
    <n v="130870"/>
    <n v="43798"/>
    <x v="1"/>
    <n v="61"/>
    <d v="2198-06-29T07:15:00"/>
    <d v="2198-08-07T23:59:00"/>
    <n v="0"/>
    <n v="7.1075999999999997"/>
    <x v="0"/>
    <s v="actual"/>
  </r>
  <r>
    <n v="131048"/>
    <n v="44083"/>
    <x v="1"/>
    <n v="54"/>
    <d v="2112-05-22T15:37:00"/>
    <d v="2112-05-25T13:30:00"/>
    <n v="0"/>
    <n v="2.1025999999999998"/>
    <x v="0"/>
    <s v="actual"/>
  </r>
  <r>
    <n v="132349"/>
    <n v="10029"/>
    <x v="1"/>
    <n v="78"/>
    <d v="2139-09-22T10:58:00"/>
    <d v="2139-10-02T14:29:00"/>
    <n v="0"/>
    <n v="2.2624"/>
    <x v="0"/>
    <s v="actual"/>
  </r>
  <r>
    <n v="133110"/>
    <n v="10046"/>
    <x v="0"/>
    <n v="53"/>
    <d v="2194-07-26T23:43:00"/>
    <d v="2194-08-06T15:12:00"/>
    <n v="0"/>
    <n v="2.8833000000000002"/>
    <x v="0"/>
    <s v="actual"/>
  </r>
  <r>
    <n v="133283"/>
    <n v="10106"/>
    <x v="1"/>
    <n v="63"/>
    <d v="2161-09-14T22:22:00"/>
    <d v="2161-09-19T17:00:00"/>
    <n v="0"/>
    <n v="1.9231"/>
    <x v="0"/>
    <s v="actual"/>
  </r>
  <r>
    <n v="134993"/>
    <n v="10083"/>
    <x v="0"/>
    <n v="82"/>
    <d v="2192-11-20T04:34:00"/>
    <d v="2192-12-07T16:30:00"/>
    <n v="0"/>
    <n v="4.5761000000000003"/>
    <x v="0"/>
    <s v="actual"/>
  </r>
  <r>
    <n v="138132"/>
    <n v="41795"/>
    <x v="1"/>
    <n v="48"/>
    <d v="2145-07-07T01:19:00"/>
    <d v="2145-07-20T19:15:00"/>
    <n v="0"/>
    <n v="10.7341"/>
    <x v="0"/>
    <s v="actual"/>
  </r>
  <r>
    <n v="138503"/>
    <n v="42292"/>
    <x v="1"/>
    <n v="63"/>
    <d v="2162-01-16T13:56:00"/>
    <d v="2162-01-19T13:45:00"/>
    <n v="0"/>
    <n v="1.0316000000000001"/>
    <x v="0"/>
    <s v="actual"/>
  </r>
  <r>
    <n v="139932"/>
    <n v="42367"/>
    <x v="0"/>
    <n v="87"/>
    <d v="2147-10-03T16:10:00"/>
    <d v="2147-11-04T19:30:00"/>
    <n v="1"/>
    <n v="29.260100000000001"/>
    <x v="1"/>
    <s v="actual"/>
  </r>
  <r>
    <n v="140372"/>
    <n v="10032"/>
    <x v="1"/>
    <n v="88"/>
    <d v="2138-04-02T19:52:00"/>
    <d v="2138-04-15T14:35:00"/>
    <n v="0"/>
    <n v="3.7120000000000002"/>
    <x v="0"/>
    <s v="actual"/>
  </r>
  <r>
    <n v="142345"/>
    <n v="10006"/>
    <x v="0"/>
    <n v="70"/>
    <d v="2164-10-23T21:09:00"/>
    <d v="2164-11-01T17:15:00"/>
    <n v="0"/>
    <n v="1.6325000000000001"/>
    <x v="0"/>
    <s v="actual"/>
  </r>
  <r>
    <n v="142539"/>
    <n v="10101"/>
    <x v="1"/>
    <n v="72"/>
    <d v="2128-03-22T17:37:00"/>
    <d v="2128-03-24T19:00:00"/>
    <n v="1"/>
    <n v="0.94469999999999998"/>
    <x v="0"/>
    <s v="actual"/>
  </r>
  <r>
    <n v="142582"/>
    <n v="10059"/>
    <x v="1"/>
    <n v="69"/>
    <d v="2150-08-07T21:40:00"/>
    <d v="2150-08-13T11:33:00"/>
    <n v="0"/>
    <n v="1.7806"/>
    <x v="0"/>
    <s v="actual"/>
  </r>
  <r>
    <n v="142633"/>
    <n v="43870"/>
    <x v="0"/>
    <n v="88"/>
    <d v="2186-02-09T21:32:00"/>
    <d v="2186-02-12T00:07:00"/>
    <n v="1"/>
    <n v="2.2820999999999998"/>
    <x v="0"/>
    <s v="actual"/>
  </r>
  <r>
    <n v="145024"/>
    <n v="41976"/>
    <x v="1"/>
    <n v="65"/>
    <d v="2202-05-01T22:00:00"/>
    <d v="2202-05-04T18:42:00"/>
    <n v="0"/>
    <n v="1.0176000000000001"/>
    <x v="0"/>
    <s v="actual"/>
  </r>
  <r>
    <n v="145203"/>
    <n v="10061"/>
    <x v="0"/>
    <n v="75"/>
    <d v="2107-01-16T11:33:00"/>
    <d v="2107-02-10T11:30:00"/>
    <n v="0"/>
    <n v="24.9968"/>
    <x v="0"/>
    <s v="actual"/>
  </r>
  <r>
    <n v="146672"/>
    <n v="10069"/>
    <x v="0"/>
    <n v="41"/>
    <d v="2188-02-08T11:15:00"/>
    <d v="2188-02-27T18:41:00"/>
    <n v="1"/>
    <n v="15.041"/>
    <x v="1"/>
    <s v="actual"/>
  </r>
  <r>
    <n v="146893"/>
    <n v="40124"/>
    <x v="0"/>
    <n v="67"/>
    <d v="2130-08-12T05:49:00"/>
    <d v="2130-08-18T15:30:00"/>
    <n v="0"/>
    <n v="3.7515999999999998"/>
    <x v="0"/>
    <s v="actual"/>
  </r>
  <r>
    <n v="148562"/>
    <n v="10042"/>
    <x v="1"/>
    <n v="70"/>
    <d v="2147-02-06T12:38:00"/>
    <d v="2147-02-17T19:00:00"/>
    <n v="0"/>
    <n v="8.1415000000000006"/>
    <x v="0"/>
    <s v="actual"/>
  </r>
  <r>
    <n v="149044"/>
    <n v="10088"/>
    <x v="1"/>
    <n v="77"/>
    <d v="2107-05-12T18:00:00"/>
    <d v="2107-05-18T13:30:00"/>
    <n v="0"/>
    <n v="2.0091000000000001"/>
    <x v="1"/>
    <s v="actual"/>
  </r>
  <r>
    <n v="149469"/>
    <n v="41976"/>
    <x v="1"/>
    <n v="66"/>
    <d v="2202-09-16T21:56:00"/>
    <d v="2202-09-23T16:20:00"/>
    <n v="0"/>
    <n v="1.9456"/>
    <x v="0"/>
    <s v="actual"/>
  </r>
  <r>
    <n v="149950"/>
    <n v="43827"/>
    <x v="0"/>
    <n v="299"/>
    <d v="2176-07-14T13:24:00"/>
    <d v="2176-07-18T15:00:00"/>
    <n v="0"/>
    <n v="2.4030999999999998"/>
    <x v="0"/>
    <s v="89+ (obscured)"/>
  </r>
  <r>
    <n v="151323"/>
    <n v="42075"/>
    <x v="1"/>
    <n v="80"/>
    <d v="2166-02-12T17:57:00"/>
    <d v="2166-02-26T00:00:00"/>
    <n v="1"/>
    <n v="13.356999999999999"/>
    <x v="0"/>
    <s v="actual"/>
  </r>
  <r>
    <n v="151798"/>
    <n v="41976"/>
    <x v="1"/>
    <n v="65"/>
    <d v="2202-02-15T19:01:00"/>
    <d v="2202-02-19T16:42:00"/>
    <n v="0"/>
    <n v="1.3129"/>
    <x v="0"/>
    <s v="actual"/>
  </r>
  <r>
    <n v="152032"/>
    <n v="41976"/>
    <x v="1"/>
    <n v="63"/>
    <d v="2200-06-09T16:14:00"/>
    <d v="2200-06-13T18:10:00"/>
    <n v="0"/>
    <n v="2.0829"/>
    <x v="0"/>
    <s v="actual"/>
  </r>
  <r>
    <n v="153826"/>
    <n v="41976"/>
    <x v="1"/>
    <n v="66"/>
    <d v="2202-10-03T01:45:00"/>
    <d v="2202-10-11T16:30:00"/>
    <n v="0"/>
    <n v="1.6396999999999999"/>
    <x v="0"/>
    <s v="actual"/>
  </r>
  <r>
    <n v="154156"/>
    <n v="42033"/>
    <x v="0"/>
    <n v="85"/>
    <d v="2131-07-26T17:13:00"/>
    <d v="2131-07-28T16:02:00"/>
    <n v="1"/>
    <n v="0.87990000000000002"/>
    <x v="0"/>
    <s v="actual"/>
  </r>
  <r>
    <n v="155297"/>
    <n v="41976"/>
    <x v="1"/>
    <n v="65"/>
    <d v="2201-11-16T23:00:00"/>
    <d v="2201-11-19T16:30:00"/>
    <n v="0"/>
    <n v="2.7361"/>
    <x v="0"/>
    <s v="actual"/>
  </r>
  <r>
    <n v="156668"/>
    <n v="10130"/>
    <x v="1"/>
    <n v="51"/>
    <d v="2161-01-30T16:26:00"/>
    <d v="2161-02-19T14:05:00"/>
    <n v="0"/>
    <n v="1.6444000000000001"/>
    <x v="0"/>
    <s v="actual"/>
  </r>
  <r>
    <n v="157235"/>
    <n v="10033"/>
    <x v="0"/>
    <n v="81"/>
    <d v="2132-12-05T02:46:00"/>
    <d v="2132-12-08T15:15:00"/>
    <n v="0"/>
    <n v="1.0694999999999999"/>
    <x v="0"/>
    <s v="actual"/>
  </r>
  <r>
    <n v="157466"/>
    <n v="10119"/>
    <x v="1"/>
    <n v="81"/>
    <d v="2117-08-05T18:27:00"/>
    <d v="2117-08-19T16:15:00"/>
    <n v="0"/>
    <n v="7.9020000000000001"/>
    <x v="0"/>
    <s v="actual"/>
  </r>
  <r>
    <n v="157609"/>
    <n v="40310"/>
    <x v="1"/>
    <n v="41"/>
    <d v="2144-12-24T16:16:00"/>
    <d v="2144-12-31T16:40:00"/>
    <n v="1"/>
    <n v="7.1988000000000003"/>
    <x v="0"/>
    <s v="actual"/>
  </r>
  <r>
    <n v="157839"/>
    <n v="10040"/>
    <x v="0"/>
    <n v="85"/>
    <d v="2147-02-23T11:43:00"/>
    <d v="2147-02-27T16:19:00"/>
    <n v="0"/>
    <n v="2.1305999999999998"/>
    <x v="0"/>
    <s v="actual"/>
  </r>
  <r>
    <n v="158100"/>
    <n v="43879"/>
    <x v="0"/>
    <n v="55"/>
    <d v="2106-08-30T15:43:00"/>
    <d v="2106-08-31T15:15:00"/>
    <n v="0"/>
    <n v="0.97750000000000004"/>
    <x v="0"/>
    <s v="actual"/>
  </r>
  <r>
    <n v="159647"/>
    <n v="42458"/>
    <x v="1"/>
    <n v="299"/>
    <d v="2146-07-21T14:45:00"/>
    <d v="2146-07-22T14:45:00"/>
    <n v="0"/>
    <n v="1.0082"/>
    <x v="0"/>
    <s v="89+ (obscured)"/>
  </r>
  <r>
    <n v="160442"/>
    <n v="10067"/>
    <x v="1"/>
    <n v="29"/>
    <d v="2130-10-06T01:34:00"/>
    <d v="2130-10-06T02:29:00"/>
    <n v="1"/>
    <n v="0.10589999999999999"/>
    <x v="0"/>
    <s v="actual"/>
  </r>
  <r>
    <n v="160445"/>
    <n v="10126"/>
    <x v="0"/>
    <n v="44"/>
    <d v="2171-07-12T06:02:00"/>
    <d v="2171-08-16T12:00:00"/>
    <n v="1"/>
    <n v="35.406500000000001"/>
    <x v="0"/>
    <s v="actual"/>
  </r>
  <r>
    <n v="161765"/>
    <n v="40456"/>
    <x v="0"/>
    <n v="87"/>
    <d v="2118-10-06T16:25:00"/>
    <d v="2118-10-09T13:30:00"/>
    <n v="0"/>
    <n v="2.0003000000000002"/>
    <x v="0"/>
    <s v="actual"/>
  </r>
  <r>
    <n v="163189"/>
    <n v="44212"/>
    <x v="0"/>
    <n v="45"/>
    <d v="2123-11-24T14:14:00"/>
    <d v="2123-12-30T14:31:00"/>
    <n v="0"/>
    <n v="31.1235"/>
    <x v="0"/>
    <s v="actual"/>
  </r>
  <r>
    <n v="164869"/>
    <n v="10102"/>
    <x v="1"/>
    <n v="70"/>
    <d v="2105-05-29T18:18:00"/>
    <d v="2105-06-11T02:20:00"/>
    <n v="1"/>
    <n v="2.452"/>
    <x v="0"/>
    <s v="actual"/>
  </r>
  <r>
    <n v="165393"/>
    <n v="10093"/>
    <x v="1"/>
    <n v="87"/>
    <d v="2141-01-25T08:35:00"/>
    <d v="2141-01-26T03:05:00"/>
    <n v="1"/>
    <n v="0.90169999999999995"/>
    <x v="0"/>
    <s v="actual"/>
  </r>
  <r>
    <n v="165436"/>
    <n v="10119"/>
    <x v="1"/>
    <n v="81"/>
    <d v="2117-08-21T06:58:00"/>
    <d v="2117-08-26T13:00:00"/>
    <n v="0"/>
    <n v="1.8919999999999999"/>
    <x v="0"/>
    <s v="actual"/>
  </r>
  <r>
    <n v="165520"/>
    <n v="10013"/>
    <x v="0"/>
    <n v="87"/>
    <d v="2125-10-04T23:36:00"/>
    <d v="2125-10-07T15:13:00"/>
    <n v="1"/>
    <n v="2.6499000000000001"/>
    <x v="0"/>
    <s v="actual"/>
  </r>
  <r>
    <n v="167021"/>
    <n v="43881"/>
    <x v="1"/>
    <n v="53"/>
    <d v="2104-10-24T09:44:00"/>
    <d v="2104-11-01T11:59:00"/>
    <n v="0"/>
    <n v="1.2762"/>
    <x v="0"/>
    <s v="actual"/>
  </r>
  <r>
    <n v="167181"/>
    <n v="43746"/>
    <x v="0"/>
    <n v="81"/>
    <d v="2110-12-29T18:03:00"/>
    <d v="2111-01-14T15:19:00"/>
    <n v="1"/>
    <n v="4.0860000000000003"/>
    <x v="0"/>
    <s v="actual"/>
  </r>
  <r>
    <n v="167612"/>
    <n v="43909"/>
    <x v="0"/>
    <n v="78"/>
    <d v="2152-10-09T19:05:00"/>
    <d v="2152-10-09T22:33:00"/>
    <n v="1"/>
    <n v="0.19040000000000001"/>
    <x v="0"/>
    <s v="actual"/>
  </r>
  <r>
    <n v="167754"/>
    <n v="42302"/>
    <x v="0"/>
    <n v="85"/>
    <d v="2160-05-04T14:10:00"/>
    <d v="2160-05-08T11:55:00"/>
    <n v="0"/>
    <n v="0.99109999999999998"/>
    <x v="1"/>
    <s v="actual"/>
  </r>
  <r>
    <n v="167957"/>
    <n v="10114"/>
    <x v="0"/>
    <n v="72"/>
    <d v="2171-10-30T19:03:00"/>
    <d v="2171-11-06T14:59:00"/>
    <n v="0"/>
    <n v="4.7332999999999998"/>
    <x v="0"/>
    <s v="actual"/>
  </r>
  <r>
    <n v="168074"/>
    <n v="10094"/>
    <x v="1"/>
    <n v="299"/>
    <d v="2180-02-29T18:54:00"/>
    <d v="2180-03-10T17:35:00"/>
    <n v="0"/>
    <n v="4.1013999999999999"/>
    <x v="0"/>
    <s v="89+ (obscured)"/>
  </r>
  <r>
    <n v="168233"/>
    <n v="10088"/>
    <x v="1"/>
    <n v="77"/>
    <d v="2107-01-29T04:00:00"/>
    <d v="2107-02-10T12:00:00"/>
    <n v="0"/>
    <n v="1.6226"/>
    <x v="1"/>
    <s v="actual"/>
  </r>
  <r>
    <n v="168674"/>
    <n v="10043"/>
    <x v="1"/>
    <n v="76"/>
    <d v="2185-04-14T00:23:00"/>
    <d v="2185-04-26T18:20:00"/>
    <n v="0"/>
    <n v="2.0141"/>
    <x v="0"/>
    <s v="actual"/>
  </r>
  <r>
    <n v="168803"/>
    <n v="40503"/>
    <x v="0"/>
    <n v="88"/>
    <d v="2186-07-06T19:59:00"/>
    <d v="2186-07-07T19:00:00"/>
    <n v="1"/>
    <n v="1.0337000000000001"/>
    <x v="0"/>
    <s v="actual"/>
  </r>
  <r>
    <n v="169938"/>
    <n v="10088"/>
    <x v="1"/>
    <n v="77"/>
    <d v="2107-01-04T11:59:00"/>
    <d v="2107-01-11T15:45:00"/>
    <n v="0"/>
    <n v="3.6884999999999999"/>
    <x v="0"/>
    <s v="actual"/>
  </r>
  <r>
    <n v="170119"/>
    <n v="10074"/>
    <x v="1"/>
    <n v="85"/>
    <d v="2167-02-11T22:10:00"/>
    <d v="2167-02-19T15:30:00"/>
    <n v="0"/>
    <n v="0.65490000000000004"/>
    <x v="0"/>
    <s v="actual"/>
  </r>
  <r>
    <n v="170883"/>
    <n v="10124"/>
    <x v="0"/>
    <n v="83"/>
    <d v="2192-04-16T20:57:00"/>
    <d v="2192-05-15T19:28:00"/>
    <n v="1"/>
    <n v="21.7545"/>
    <x v="0"/>
    <s v="actual"/>
  </r>
  <r>
    <n v="171628"/>
    <n v="42066"/>
    <x v="1"/>
    <n v="50"/>
    <d v="2112-02-04T14:49:00"/>
    <d v="2112-02-11T12:00:00"/>
    <n v="1"/>
    <n v="5.0956000000000001"/>
    <x v="1"/>
    <s v="actual"/>
  </r>
  <r>
    <n v="171878"/>
    <n v="42231"/>
    <x v="0"/>
    <n v="85"/>
    <d v="2102-08-29T07:15:00"/>
    <d v="2102-09-06T16:20:00"/>
    <n v="0"/>
    <n v="1.1357999999999999"/>
    <x v="0"/>
    <s v="actual"/>
  </r>
  <r>
    <n v="172082"/>
    <n v="41976"/>
    <x v="1"/>
    <n v="63"/>
    <d v="2200-03-17T20:32:00"/>
    <d v="2200-03-28T17:00:00"/>
    <n v="0"/>
    <n v="10.862500000000001"/>
    <x v="0"/>
    <s v="actual"/>
  </r>
  <r>
    <n v="172454"/>
    <n v="43881"/>
    <x v="1"/>
    <n v="53"/>
    <d v="2104-09-24T17:31:00"/>
    <d v="2104-09-30T16:17:00"/>
    <n v="0"/>
    <n v="1.9252"/>
    <x v="0"/>
    <s v="actual"/>
  </r>
  <r>
    <n v="173269"/>
    <n v="41976"/>
    <x v="1"/>
    <n v="62"/>
    <d v="2199-01-13T17:13:00"/>
    <d v="2199-01-16T15:23:00"/>
    <n v="0"/>
    <n v="2.9405999999999999"/>
    <x v="0"/>
    <s v="actual"/>
  </r>
  <r>
    <n v="174245"/>
    <n v="44154"/>
    <x v="1"/>
    <n v="299"/>
    <d v="2178-05-14T20:29:00"/>
    <d v="2178-05-15T09:45:00"/>
    <n v="1"/>
    <n v="0.62590000000000001"/>
    <x v="0"/>
    <s v="89+ (obscured)"/>
  </r>
  <r>
    <n v="174739"/>
    <n v="10111"/>
    <x v="0"/>
    <n v="82"/>
    <d v="2180-01-14T18:42:00"/>
    <d v="2180-02-01T17:17:00"/>
    <n v="1"/>
    <n v="11.071400000000001"/>
    <x v="0"/>
    <s v="actual"/>
  </r>
  <r>
    <n v="174863"/>
    <n v="41976"/>
    <x v="1"/>
    <n v="65"/>
    <d v="2201-08-10T23:00:00"/>
    <d v="2201-08-13T16:55:00"/>
    <n v="0"/>
    <n v="0.75990000000000002"/>
    <x v="0"/>
    <s v="actual"/>
  </r>
  <r>
    <n v="174997"/>
    <n v="40304"/>
    <x v="1"/>
    <n v="76"/>
    <d v="2163-11-21T18:34:00"/>
    <d v="2163-12-01T11:00:00"/>
    <n v="0"/>
    <n v="2.2993999999999999"/>
    <x v="0"/>
    <s v="actual"/>
  </r>
  <r>
    <n v="175237"/>
    <n v="40204"/>
    <x v="1"/>
    <n v="76"/>
    <d v="2155-12-16T16:20:00"/>
    <d v="2155-12-24T14:39:00"/>
    <n v="0"/>
    <n v="0.85919999999999996"/>
    <x v="0"/>
    <s v="actual"/>
  </r>
  <r>
    <n v="175880"/>
    <n v="42346"/>
    <x v="0"/>
    <n v="88"/>
    <d v="2160-12-26T11:45:00"/>
    <d v="2160-12-27T07:45:00"/>
    <n v="1"/>
    <n v="0.53500000000000003"/>
    <x v="0"/>
    <s v="actual"/>
  </r>
  <r>
    <n v="176016"/>
    <n v="41976"/>
    <x v="1"/>
    <n v="62"/>
    <d v="2199-01-31T22:26:00"/>
    <d v="2199-02-14T13:22:00"/>
    <n v="0"/>
    <n v="10.776400000000001"/>
    <x v="0"/>
    <s v="actual"/>
  </r>
  <r>
    <n v="176805"/>
    <n v="10090"/>
    <x v="1"/>
    <n v="27"/>
    <d v="2124-01-12T14:26:00"/>
    <d v="2124-01-14T19:00:00"/>
    <n v="0"/>
    <n v="1.1409"/>
    <x v="0"/>
    <s v="actual"/>
  </r>
  <r>
    <n v="177678"/>
    <n v="10104"/>
    <x v="0"/>
    <n v="70"/>
    <d v="2120-08-24T17:39:00"/>
    <d v="2120-08-31T13:12:00"/>
    <n v="0"/>
    <n v="0.66279999999999994"/>
    <x v="0"/>
    <s v="actual"/>
  </r>
  <r>
    <n v="177759"/>
    <n v="10019"/>
    <x v="1"/>
    <n v="48"/>
    <d v="2163-05-14T20:43:00"/>
    <d v="2163-05-15T12:00:00"/>
    <n v="1"/>
    <n v="1.2938000000000001"/>
    <x v="0"/>
    <s v="actual"/>
  </r>
  <r>
    <n v="178513"/>
    <n v="42199"/>
    <x v="0"/>
    <n v="72"/>
    <d v="2117-03-21T12:55:00"/>
    <d v="2117-03-31T12:10:00"/>
    <n v="0"/>
    <n v="5.4263000000000003"/>
    <x v="0"/>
    <s v="actual"/>
  </r>
  <r>
    <n v="179418"/>
    <n v="41976"/>
    <x v="1"/>
    <n v="65"/>
    <d v="2201-12-31T19:19:00"/>
    <d v="2202-01-03T17:55:00"/>
    <n v="0"/>
    <n v="0.75690000000000002"/>
    <x v="0"/>
    <s v="actual"/>
  </r>
  <r>
    <n v="180391"/>
    <n v="42346"/>
    <x v="0"/>
    <n v="88"/>
    <d v="2160-12-16T13:47:00"/>
    <d v="2160-12-21T15:30:00"/>
    <n v="0"/>
    <n v="0.95379999999999998"/>
    <x v="0"/>
    <s v="actual"/>
  </r>
  <r>
    <n v="180546"/>
    <n v="41976"/>
    <x v="1"/>
    <n v="64"/>
    <d v="2201-05-12T10:49:00"/>
    <d v="2201-05-19T14:04:00"/>
    <n v="0"/>
    <n v="1.3351999999999999"/>
    <x v="0"/>
    <s v="actual"/>
  </r>
  <r>
    <n v="180685"/>
    <n v="10098"/>
    <x v="0"/>
    <n v="19"/>
    <d v="2170-12-02T23:24:00"/>
    <d v="2170-12-03T15:55:00"/>
    <n v="1"/>
    <n v="0.76019999999999999"/>
    <x v="0"/>
    <s v="actual"/>
  </r>
  <r>
    <n v="182664"/>
    <n v="10124"/>
    <x v="0"/>
    <n v="83"/>
    <d v="2192-03-26T15:30:00"/>
    <d v="2192-04-05T14:21:00"/>
    <n v="0"/>
    <n v="2.8258000000000001"/>
    <x v="0"/>
    <s v="actual"/>
  </r>
  <r>
    <n v="182839"/>
    <n v="10127"/>
    <x v="0"/>
    <n v="17"/>
    <d v="2198-06-28T05:34:00"/>
    <d v="2198-07-20T14:56:00"/>
    <n v="0"/>
    <n v="22.389500000000002"/>
    <x v="0"/>
    <s v="actual"/>
  </r>
  <r>
    <n v="182879"/>
    <n v="40601"/>
    <x v="0"/>
    <n v="72"/>
    <d v="2184-08-04T05:44:00"/>
    <d v="2184-08-10T15:30:00"/>
    <n v="0"/>
    <n v="2.4872000000000001"/>
    <x v="0"/>
    <s v="actual"/>
  </r>
  <r>
    <n v="183314"/>
    <n v="10065"/>
    <x v="0"/>
    <n v="78"/>
    <d v="2189-09-08T07:15:00"/>
    <d v="2189-09-20T14:00:00"/>
    <n v="0"/>
    <n v="2.2559"/>
    <x v="0"/>
    <s v="actual"/>
  </r>
  <r>
    <n v="186071"/>
    <n v="43779"/>
    <x v="1"/>
    <n v="76"/>
    <d v="2173-11-27T21:56:00"/>
    <d v="2173-11-30T15:50:00"/>
    <n v="0"/>
    <n v="0.74370000000000003"/>
    <x v="0"/>
    <s v="actual"/>
  </r>
  <r>
    <n v="186361"/>
    <n v="40310"/>
    <x v="1"/>
    <n v="40"/>
    <d v="2144-07-11T15:02:00"/>
    <d v="2144-11-12T14:40:00"/>
    <n v="0"/>
    <n v="19.5761"/>
    <x v="0"/>
    <s v="actual"/>
  </r>
  <r>
    <n v="187023"/>
    <n v="10117"/>
    <x v="0"/>
    <n v="66"/>
    <d v="2138-06-05T17:23:00"/>
    <d v="2138-06-11T10:16:00"/>
    <n v="0"/>
    <n v="1.7861"/>
    <x v="0"/>
    <s v="actual"/>
  </r>
  <r>
    <n v="188574"/>
    <n v="10112"/>
    <x v="0"/>
    <n v="78"/>
    <d v="2148-01-13T22:32:00"/>
    <d v="2148-01-19T15:03:00"/>
    <n v="1"/>
    <n v="5.6856999999999998"/>
    <x v="0"/>
    <s v="actual"/>
  </r>
  <r>
    <n v="189483"/>
    <n v="10036"/>
    <x v="0"/>
    <n v="299"/>
    <d v="2185-03-24T16:56:00"/>
    <d v="2185-03-26T09:15:00"/>
    <n v="1"/>
    <n v="1.8068"/>
    <x v="1"/>
    <s v="89+ (obscured)"/>
  </r>
  <r>
    <n v="190301"/>
    <n v="10089"/>
    <x v="1"/>
    <n v="86"/>
    <d v="2132-08-05T18:48:00"/>
    <d v="2132-08-08T02:15:00"/>
    <n v="1"/>
    <n v="2.4710000000000001"/>
    <x v="0"/>
    <s v="actual"/>
  </r>
  <r>
    <n v="192189"/>
    <n v="44222"/>
    <x v="1"/>
    <n v="73"/>
    <d v="2180-07-19T06:55:00"/>
    <d v="2180-07-20T13:00:00"/>
    <n v="0"/>
    <n v="1.3279000000000001"/>
    <x v="0"/>
    <s v="actual"/>
  </r>
  <r>
    <n v="193924"/>
    <n v="10120"/>
    <x v="1"/>
    <n v="27"/>
    <d v="2115-05-12T14:52:00"/>
    <d v="2115-05-15T02:15:00"/>
    <n v="1"/>
    <n v="2.6465000000000001"/>
    <x v="0"/>
    <s v="actual"/>
  </r>
  <r>
    <n v="195911"/>
    <n v="42281"/>
    <x v="0"/>
    <n v="68"/>
    <d v="2119-10-17T05:58:00"/>
    <d v="2119-11-14T09:30:00"/>
    <n v="1"/>
    <n v="18.8324"/>
    <x v="0"/>
    <s v="actual"/>
  </r>
  <r>
    <n v="197611"/>
    <n v="10132"/>
    <x v="0"/>
    <n v="65"/>
    <d v="2123-08-23T20:00:00"/>
    <d v="2123-09-17T14:00:00"/>
    <n v="0"/>
    <n v="0.79730000000000001"/>
    <x v="0"/>
    <s v="actual"/>
  </r>
  <r>
    <n v="198330"/>
    <n v="44083"/>
    <x v="1"/>
    <n v="54"/>
    <d v="2112-05-28T15:45:00"/>
    <d v="2112-06-07T16:50:00"/>
    <n v="0"/>
    <n v="3.6173999999999999"/>
    <x v="0"/>
    <s v="actual"/>
  </r>
  <r>
    <n v="198480"/>
    <n v="40177"/>
    <x v="1"/>
    <n v="86"/>
    <d v="2169-05-06T23:16:00"/>
    <d v="2169-05-12T08:54:00"/>
    <n v="1"/>
    <n v="1.7292000000000001"/>
    <x v="0"/>
    <s v="actual"/>
  </r>
  <r>
    <n v="198503"/>
    <n v="10076"/>
    <x v="1"/>
    <n v="68"/>
    <d v="2107-03-21T21:16:00"/>
    <d v="2107-03-30T12:00:00"/>
    <n v="1"/>
    <n v="7.1173000000000002"/>
    <x v="0"/>
    <s v="actual"/>
  </r>
  <r>
    <n v="199207"/>
    <n v="10017"/>
    <x v="0"/>
    <n v="73"/>
    <d v="2149-05-26T17:19:00"/>
    <d v="2149-06-03T18:42:00"/>
    <n v="0"/>
    <n v="2.1436000000000002"/>
    <x v="0"/>
    <s v="actual"/>
  </r>
  <r>
    <n v="199395"/>
    <n v="10027"/>
    <x v="0"/>
    <n v="82"/>
    <d v="2190-07-13T07:15:00"/>
    <d v="2190-07-25T14:00:00"/>
    <n v="0"/>
    <n v="7.2615999999999996"/>
    <x v="0"/>
    <s v="actu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633A7-5755-4344-9736-D32EBF8D87A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22" showAll="0"/>
    <pivotField numFmtId="22"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2">
    <field x="8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Average of total_los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9A36E-60E1-804A-878C-C07BA41D9019}" name="admissions" displayName="admissions" ref="A1:L130" totalsRowShown="0">
  <autoFilter ref="A1:L130" xr:uid="{F7B9A36E-60E1-804A-878C-C07BA41D9019}"/>
  <tableColumns count="12">
    <tableColumn id="1" xr3:uid="{B6213DB4-8C82-4845-9C67-92DAF0569B6A}" name="hadm_id"/>
    <tableColumn id="2" xr3:uid="{9CA7B986-05A9-6744-9D37-4C91F284E6AC}" name="subject_id"/>
    <tableColumn id="3" xr3:uid="{BA3F730D-5CAB-C340-8A84-7A0D3ACB2EF2}" name="gender"/>
    <tableColumn id="4" xr3:uid="{AFCF8C68-4035-CF43-B91E-B6E66A6DBFF2}" name="age_at_admission"/>
    <tableColumn id="5" xr3:uid="{94BC5E53-CB0F-1049-8778-F6C0843B9374}" name="admittime" dataDxfId="5"/>
    <tableColumn id="6" xr3:uid="{204B041B-E95F-B94E-9796-4BEF9A702D91}" name="dischtime" dataDxfId="4"/>
    <tableColumn id="7" xr3:uid="{96B1A7B6-D533-3E4B-9534-B047040C77B8}" name="hospital_expire_flag"/>
    <tableColumn id="8" xr3:uid="{A51F3042-0B73-E141-B5D7-C366789C24CC}" name="total_los"/>
    <tableColumn id="9" xr3:uid="{FE5F3FC5-4C99-D94B-A98C-1FEB1C534225}" name="neuro_flag"/>
    <tableColumn id="10" xr3:uid="{EEE98DA4-AD2F-F24D-8253-1543C8A7BB52}" name="age_note" dataDxfId="3">
      <calculatedColumnFormula>IF(admissions[[#This Row],[age_at_admission]]&gt;100,"89+ (obscured)", "actual")</calculatedColumnFormula>
    </tableColumn>
    <tableColumn id="11" xr3:uid="{58D28B09-6B3E-084F-AFEC-963436A7BE61}" name="date_check" dataDxfId="2">
      <calculatedColumnFormula>IF(admissions[[#This Row],[dischtime]]&lt;admissions[[#This Row],[admittime]], "ERROR: discharge before admit", "OK")</calculatedColumnFormula>
    </tableColumn>
    <tableColumn id="12" xr3:uid="{E69D361B-74C8-D841-8FA0-7D5FA4130817}" name="cohort_label" dataDxfId="1">
      <calculatedColumnFormula>_xlfn.XLOOKUP(admissions[[#This Row],[neuro_flag]], flag_lookup[flag_value], flag_lookup[flag_label])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27CFCA-618D-B14E-93E0-16DE3138EFD6}" name="flag_lookup" displayName="flag_lookup" ref="A1:B3" totalsRowShown="0">
  <autoFilter ref="A1:B3" xr:uid="{0927CFCA-618D-B14E-93E0-16DE3138EFD6}"/>
  <tableColumns count="2">
    <tableColumn id="1" xr3:uid="{EF9D2C2F-AF9C-6840-93CC-7C0DFC3F873A}" name="flag_value"/>
    <tableColumn id="2" xr3:uid="{7CF4AA49-B510-9249-A92A-329FE0EB54A1}" name="flag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42F5-4102-2C41-B87B-2B1A300E308D}">
  <dimension ref="A1:L130"/>
  <sheetViews>
    <sheetView tabSelected="1" workbookViewId="0">
      <selection activeCell="L3" sqref="L3"/>
    </sheetView>
  </sheetViews>
  <sheetFormatPr baseColWidth="10" defaultRowHeight="16" x14ac:dyDescent="0.2"/>
  <cols>
    <col min="2" max="2" width="12" customWidth="1"/>
    <col min="4" max="4" width="18.5" customWidth="1"/>
    <col min="5" max="5" width="12.1640625" customWidth="1"/>
    <col min="6" max="6" width="11.83203125" customWidth="1"/>
    <col min="7" max="7" width="20" customWidth="1"/>
    <col min="9" max="9" width="12.1640625" customWidth="1"/>
    <col min="10" max="10" width="13.1640625" customWidth="1"/>
    <col min="11" max="11" width="14.6640625" customWidth="1"/>
    <col min="12" max="12" width="14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</v>
      </c>
      <c r="K1" t="s">
        <v>23</v>
      </c>
      <c r="L1" t="s">
        <v>32</v>
      </c>
    </row>
    <row r="2" spans="1:12" x14ac:dyDescent="0.2">
      <c r="A2">
        <v>100375</v>
      </c>
      <c r="B2">
        <v>10056</v>
      </c>
      <c r="C2" t="s">
        <v>9</v>
      </c>
      <c r="D2">
        <v>83</v>
      </c>
      <c r="E2" s="1">
        <v>83764.008333333331</v>
      </c>
      <c r="F2" s="1">
        <v>83768.569444444438</v>
      </c>
      <c r="G2">
        <v>0</v>
      </c>
      <c r="H2">
        <v>1.0490999999999999</v>
      </c>
      <c r="I2">
        <v>0</v>
      </c>
      <c r="J2" t="str">
        <f>IF(admissions[[#This Row],[age_at_admission]]&gt;100,"89+ (obscured)", "actual")</f>
        <v>actual</v>
      </c>
      <c r="K2" t="str">
        <f>IF(admissions[[#This Row],[dischtime]]&lt;admissions[[#This Row],[admittime]], "ERROR: discharge before admit", "OK")</f>
        <v>OK</v>
      </c>
      <c r="L2" t="str">
        <f>_xlfn.XLOOKUP(admissions[[#This Row],[neuro_flag]], flag_lookup[flag_value], flag_lookup[flag_label])</f>
        <v>General ICU</v>
      </c>
    </row>
    <row r="3" spans="1:12" x14ac:dyDescent="0.2">
      <c r="A3">
        <v>100969</v>
      </c>
      <c r="B3">
        <v>42430</v>
      </c>
      <c r="C3" t="s">
        <v>10</v>
      </c>
      <c r="D3">
        <v>80</v>
      </c>
      <c r="E3" s="1">
        <v>88720.888888888891</v>
      </c>
      <c r="F3" s="1">
        <v>88724.454861111109</v>
      </c>
      <c r="G3">
        <v>1</v>
      </c>
      <c r="H3">
        <v>2.8437000000000001</v>
      </c>
      <c r="I3">
        <v>0</v>
      </c>
      <c r="J3" t="str">
        <f>IF(admissions[[#This Row],[age_at_admission]]&gt;100,"89+ (obscured)", "actual")</f>
        <v>actual</v>
      </c>
      <c r="K3" t="str">
        <f>IF(admissions[[#This Row],[dischtime]]&lt;admissions[[#This Row],[admittime]], "ERROR: discharge before admit", "OK")</f>
        <v>OK</v>
      </c>
      <c r="L3" t="str">
        <f>_xlfn.XLOOKUP(admissions[[#This Row],[neuro_flag]], flag_lookup[flag_value], flag_lookup[flag_label])</f>
        <v>General ICU</v>
      </c>
    </row>
    <row r="4" spans="1:12" x14ac:dyDescent="0.2">
      <c r="A4">
        <v>101361</v>
      </c>
      <c r="B4">
        <v>41914</v>
      </c>
      <c r="C4" t="s">
        <v>10</v>
      </c>
      <c r="D4">
        <v>55</v>
      </c>
      <c r="E4" s="1">
        <v>89821.759027777778</v>
      </c>
      <c r="F4" s="1">
        <v>89838.739583333328</v>
      </c>
      <c r="G4">
        <v>0</v>
      </c>
      <c r="H4">
        <v>12.9903</v>
      </c>
      <c r="I4">
        <v>0</v>
      </c>
      <c r="J4" t="str">
        <f>IF(admissions[[#This Row],[age_at_admission]]&gt;100,"89+ (obscured)", "actual")</f>
        <v>actual</v>
      </c>
      <c r="K4" t="str">
        <f>IF(admissions[[#This Row],[dischtime]]&lt;admissions[[#This Row],[admittime]], "ERROR: discharge before admit", "OK")</f>
        <v>OK</v>
      </c>
      <c r="L4" t="str">
        <f>_xlfn.XLOOKUP(admissions[[#This Row],[neuro_flag]], flag_lookup[flag_value], flag_lookup[flag_label])</f>
        <v>General ICU</v>
      </c>
    </row>
    <row r="5" spans="1:12" x14ac:dyDescent="0.2">
      <c r="A5">
        <v>102203</v>
      </c>
      <c r="B5">
        <v>42135</v>
      </c>
      <c r="C5" t="s">
        <v>10</v>
      </c>
      <c r="D5">
        <v>43</v>
      </c>
      <c r="E5" s="1">
        <v>83115.639583333337</v>
      </c>
      <c r="F5" s="1">
        <v>83127.666666666672</v>
      </c>
      <c r="G5">
        <v>0</v>
      </c>
      <c r="H5">
        <v>1.2606999999999999</v>
      </c>
      <c r="I5">
        <v>0</v>
      </c>
      <c r="J5" t="str">
        <f>IF(admissions[[#This Row],[age_at_admission]]&gt;100,"89+ (obscured)", "actual")</f>
        <v>actual</v>
      </c>
      <c r="K5" t="str">
        <f>IF(admissions[[#This Row],[dischtime]]&lt;admissions[[#This Row],[admittime]], "ERROR: discharge before admit", "OK")</f>
        <v>OK</v>
      </c>
      <c r="L5" t="str">
        <f>_xlfn.XLOOKUP(admissions[[#This Row],[neuro_flag]], flag_lookup[flag_value], flag_lookup[flag_label])</f>
        <v>General ICU</v>
      </c>
    </row>
    <row r="6" spans="1:12" x14ac:dyDescent="0.2">
      <c r="A6">
        <v>103379</v>
      </c>
      <c r="B6">
        <v>44228</v>
      </c>
      <c r="C6" t="s">
        <v>9</v>
      </c>
      <c r="D6">
        <v>58</v>
      </c>
      <c r="E6" s="1">
        <v>98966.134722222225</v>
      </c>
      <c r="F6" s="1">
        <v>98975.75</v>
      </c>
      <c r="G6">
        <v>0</v>
      </c>
      <c r="H6">
        <v>4.6191000000000004</v>
      </c>
      <c r="I6">
        <v>0</v>
      </c>
      <c r="J6" t="str">
        <f>IF(admissions[[#This Row],[age_at_admission]]&gt;100,"89+ (obscured)", "actual")</f>
        <v>actual</v>
      </c>
      <c r="K6" t="str">
        <f>IF(admissions[[#This Row],[dischtime]]&lt;admissions[[#This Row],[admittime]], "ERROR: discharge before admit", "OK")</f>
        <v>OK</v>
      </c>
      <c r="L6" t="str">
        <f>_xlfn.XLOOKUP(admissions[[#This Row],[neuro_flag]], flag_lookup[flag_value], flag_lookup[flag_label])</f>
        <v>General ICU</v>
      </c>
    </row>
    <row r="7" spans="1:12" x14ac:dyDescent="0.2">
      <c r="A7">
        <v>103770</v>
      </c>
      <c r="B7">
        <v>10026</v>
      </c>
      <c r="C7" t="s">
        <v>9</v>
      </c>
      <c r="D7">
        <v>299</v>
      </c>
      <c r="E7" s="1">
        <v>107885.31875000001</v>
      </c>
      <c r="F7" s="1">
        <v>107892.48958333333</v>
      </c>
      <c r="G7">
        <v>0</v>
      </c>
      <c r="H7">
        <v>2.4056000000000002</v>
      </c>
      <c r="I7">
        <v>0</v>
      </c>
      <c r="J7" t="str">
        <f>IF(admissions[[#This Row],[age_at_admission]]&gt;100,"89+ (obscured)", "actual")</f>
        <v>89+ (obscured)</v>
      </c>
      <c r="K7" t="str">
        <f>IF(admissions[[#This Row],[dischtime]]&lt;admissions[[#This Row],[admittime]], "ERROR: discharge before admit", "OK")</f>
        <v>OK</v>
      </c>
      <c r="L7" t="str">
        <f>_xlfn.XLOOKUP(admissions[[#This Row],[neuro_flag]], flag_lookup[flag_value], flag_lookup[flag_label])</f>
        <v>General ICU</v>
      </c>
    </row>
    <row r="8" spans="1:12" x14ac:dyDescent="0.2">
      <c r="A8">
        <v>104697</v>
      </c>
      <c r="B8">
        <v>40612</v>
      </c>
      <c r="C8" t="s">
        <v>9</v>
      </c>
      <c r="D8">
        <v>86</v>
      </c>
      <c r="E8" s="1">
        <v>94920.14444444445</v>
      </c>
      <c r="F8" s="1">
        <v>94925.59375</v>
      </c>
      <c r="G8">
        <v>0</v>
      </c>
      <c r="H8">
        <v>3.5465</v>
      </c>
      <c r="I8">
        <v>1</v>
      </c>
      <c r="J8" t="str">
        <f>IF(admissions[[#This Row],[age_at_admission]]&gt;100,"89+ (obscured)", "actual")</f>
        <v>actual</v>
      </c>
      <c r="K8" t="str">
        <f>IF(admissions[[#This Row],[dischtime]]&lt;admissions[[#This Row],[admittime]], "ERROR: discharge before admit", "OK")</f>
        <v>OK</v>
      </c>
      <c r="L8" t="str">
        <f>_xlfn.XLOOKUP(admissions[[#This Row],[neuro_flag]], flag_lookup[flag_value], flag_lookup[flag_label])</f>
        <v>Neuro Cohort</v>
      </c>
    </row>
    <row r="9" spans="1:12" x14ac:dyDescent="0.2">
      <c r="A9">
        <v>105150</v>
      </c>
      <c r="B9">
        <v>10117</v>
      </c>
      <c r="C9" t="s">
        <v>9</v>
      </c>
      <c r="D9">
        <v>66</v>
      </c>
      <c r="E9" s="1">
        <v>87242.755555555559</v>
      </c>
      <c r="F9" s="1">
        <v>87251.967361111107</v>
      </c>
      <c r="G9">
        <v>1</v>
      </c>
      <c r="H9">
        <v>2.6745000000000001</v>
      </c>
      <c r="I9">
        <v>0</v>
      </c>
      <c r="J9" t="str">
        <f>IF(admissions[[#This Row],[age_at_admission]]&gt;100,"89+ (obscured)", "actual")</f>
        <v>actual</v>
      </c>
      <c r="K9" t="str">
        <f>IF(admissions[[#This Row],[dischtime]]&lt;admissions[[#This Row],[admittime]], "ERROR: discharge before admit", "OK")</f>
        <v>OK</v>
      </c>
      <c r="L9" t="str">
        <f>_xlfn.XLOOKUP(admissions[[#This Row],[neuro_flag]], flag_lookup[flag_value], flag_lookup[flag_label])</f>
        <v>General ICU</v>
      </c>
    </row>
    <row r="10" spans="1:12" x14ac:dyDescent="0.2">
      <c r="A10">
        <v>105331</v>
      </c>
      <c r="B10">
        <v>10011</v>
      </c>
      <c r="C10" t="s">
        <v>9</v>
      </c>
      <c r="D10">
        <v>36</v>
      </c>
      <c r="E10" s="1">
        <v>82772.938888888893</v>
      </c>
      <c r="F10" s="1">
        <v>82786.790972222225</v>
      </c>
      <c r="G10">
        <v>1</v>
      </c>
      <c r="H10">
        <v>13.8507</v>
      </c>
      <c r="I10">
        <v>0</v>
      </c>
      <c r="J10" t="str">
        <f>IF(admissions[[#This Row],[age_at_admission]]&gt;100,"89+ (obscured)", "actual")</f>
        <v>actual</v>
      </c>
      <c r="K10" t="str">
        <f>IF(admissions[[#This Row],[dischtime]]&lt;admissions[[#This Row],[admittime]], "ERROR: discharge before admit", "OK")</f>
        <v>OK</v>
      </c>
      <c r="L10" t="str">
        <f>_xlfn.XLOOKUP(admissions[[#This Row],[neuro_flag]], flag_lookup[flag_value], flag_lookup[flag_label])</f>
        <v>General ICU</v>
      </c>
    </row>
    <row r="11" spans="1:12" x14ac:dyDescent="0.2">
      <c r="A11">
        <v>107689</v>
      </c>
      <c r="B11">
        <v>41983</v>
      </c>
      <c r="C11" t="s">
        <v>9</v>
      </c>
      <c r="D11">
        <v>299</v>
      </c>
      <c r="E11" s="1">
        <v>91932.711111111115</v>
      </c>
      <c r="F11" s="1">
        <v>91935.03125</v>
      </c>
      <c r="G11">
        <v>1</v>
      </c>
      <c r="H11">
        <v>1.9177999999999999</v>
      </c>
      <c r="I11">
        <v>0</v>
      </c>
      <c r="J11" t="str">
        <f>IF(admissions[[#This Row],[age_at_admission]]&gt;100,"89+ (obscured)", "actual")</f>
        <v>89+ (obscured)</v>
      </c>
      <c r="K11" t="str">
        <f>IF(admissions[[#This Row],[dischtime]]&lt;admissions[[#This Row],[admittime]], "ERROR: discharge before admit", "OK")</f>
        <v>OK</v>
      </c>
      <c r="L11" t="str">
        <f>_xlfn.XLOOKUP(admissions[[#This Row],[neuro_flag]], flag_lookup[flag_value], flag_lookup[flag_label])</f>
        <v>General ICU</v>
      </c>
    </row>
    <row r="12" spans="1:12" x14ac:dyDescent="0.2">
      <c r="A12">
        <v>109698</v>
      </c>
      <c r="B12">
        <v>40286</v>
      </c>
      <c r="C12" t="s">
        <v>9</v>
      </c>
      <c r="D12">
        <v>299</v>
      </c>
      <c r="E12" s="1">
        <v>107306.30208333333</v>
      </c>
      <c r="F12" s="1">
        <v>107311.55416666667</v>
      </c>
      <c r="G12">
        <v>0</v>
      </c>
      <c r="H12">
        <v>1.7299</v>
      </c>
      <c r="I12">
        <v>0</v>
      </c>
      <c r="J12" t="str">
        <f>IF(admissions[[#This Row],[age_at_admission]]&gt;100,"89+ (obscured)", "actual")</f>
        <v>89+ (obscured)</v>
      </c>
      <c r="K12" t="str">
        <f>IF(admissions[[#This Row],[dischtime]]&lt;admissions[[#This Row],[admittime]], "ERROR: discharge before admit", "OK")</f>
        <v>OK</v>
      </c>
      <c r="L12" t="str">
        <f>_xlfn.XLOOKUP(admissions[[#This Row],[neuro_flag]], flag_lookup[flag_value], flag_lookup[flag_label])</f>
        <v>General ICU</v>
      </c>
    </row>
    <row r="13" spans="1:12" x14ac:dyDescent="0.2">
      <c r="A13">
        <v>110244</v>
      </c>
      <c r="B13">
        <v>10035</v>
      </c>
      <c r="C13" t="s">
        <v>10</v>
      </c>
      <c r="D13">
        <v>75</v>
      </c>
      <c r="E13" s="1">
        <v>83704.670833333337</v>
      </c>
      <c r="F13" s="1">
        <v>83708.763194444444</v>
      </c>
      <c r="G13">
        <v>0</v>
      </c>
      <c r="H13">
        <v>1.3754999999999999</v>
      </c>
      <c r="I13">
        <v>0</v>
      </c>
      <c r="J13" t="str">
        <f>IF(admissions[[#This Row],[age_at_admission]]&gt;100,"89+ (obscured)", "actual")</f>
        <v>actual</v>
      </c>
      <c r="K13" t="str">
        <f>IF(admissions[[#This Row],[dischtime]]&lt;admissions[[#This Row],[admittime]], "ERROR: discharge before admit", "OK")</f>
        <v>OK</v>
      </c>
      <c r="L13" t="str">
        <f>_xlfn.XLOOKUP(admissions[[#This Row],[neuro_flag]], flag_lookup[flag_value], flag_lookup[flag_label])</f>
        <v>General ICU</v>
      </c>
    </row>
    <row r="14" spans="1:12" x14ac:dyDescent="0.2">
      <c r="A14">
        <v>110958</v>
      </c>
      <c r="B14">
        <v>43927</v>
      </c>
      <c r="C14" t="s">
        <v>9</v>
      </c>
      <c r="D14">
        <v>71</v>
      </c>
      <c r="E14" s="1">
        <v>100718.52083333333</v>
      </c>
      <c r="F14" s="1">
        <v>100722.625</v>
      </c>
      <c r="G14">
        <v>0</v>
      </c>
      <c r="H14">
        <v>1.3152999999999999</v>
      </c>
      <c r="I14">
        <v>0</v>
      </c>
      <c r="J14" t="str">
        <f>IF(admissions[[#This Row],[age_at_admission]]&gt;100,"89+ (obscured)", "actual")</f>
        <v>actual</v>
      </c>
      <c r="K14" t="str">
        <f>IF(admissions[[#This Row],[dischtime]]&lt;admissions[[#This Row],[admittime]], "ERROR: discharge before admit", "OK")</f>
        <v>OK</v>
      </c>
      <c r="L14" t="str">
        <f>_xlfn.XLOOKUP(admissions[[#This Row],[neuro_flag]], flag_lookup[flag_value], flag_lookup[flag_label])</f>
        <v>General ICU</v>
      </c>
    </row>
    <row r="15" spans="1:12" x14ac:dyDescent="0.2">
      <c r="A15">
        <v>111115</v>
      </c>
      <c r="B15">
        <v>10038</v>
      </c>
      <c r="C15" t="s">
        <v>9</v>
      </c>
      <c r="D15">
        <v>88</v>
      </c>
      <c r="E15" s="1">
        <v>89160.745138888888</v>
      </c>
      <c r="F15" s="1">
        <v>89172.5625</v>
      </c>
      <c r="G15">
        <v>0</v>
      </c>
      <c r="H15">
        <v>3.3856999999999999</v>
      </c>
      <c r="I15">
        <v>0</v>
      </c>
      <c r="J15" t="str">
        <f>IF(admissions[[#This Row],[age_at_admission]]&gt;100,"89+ (obscured)", "actual")</f>
        <v>actual</v>
      </c>
      <c r="K15" t="str">
        <f>IF(admissions[[#This Row],[dischtime]]&lt;admissions[[#This Row],[admittime]], "ERROR: discharge before admit", "OK")</f>
        <v>OK</v>
      </c>
      <c r="L15" t="str">
        <f>_xlfn.XLOOKUP(admissions[[#This Row],[neuro_flag]], flag_lookup[flag_value], flag_lookup[flag_label])</f>
        <v>General ICU</v>
      </c>
    </row>
    <row r="16" spans="1:12" x14ac:dyDescent="0.2">
      <c r="A16">
        <v>111761</v>
      </c>
      <c r="B16">
        <v>10064</v>
      </c>
      <c r="C16" t="s">
        <v>10</v>
      </c>
      <c r="D16">
        <v>68</v>
      </c>
      <c r="E16" s="1">
        <v>82989.610416666663</v>
      </c>
      <c r="F16" s="1">
        <v>82989.756250000006</v>
      </c>
      <c r="G16">
        <v>1</v>
      </c>
      <c r="H16">
        <v>0.20699999999999999</v>
      </c>
      <c r="I16">
        <v>0</v>
      </c>
      <c r="J16" t="str">
        <f>IF(admissions[[#This Row],[age_at_admission]]&gt;100,"89+ (obscured)", "actual")</f>
        <v>actual</v>
      </c>
      <c r="K16" t="str">
        <f>IF(admissions[[#This Row],[dischtime]]&lt;admissions[[#This Row],[admittime]], "ERROR: discharge before admit", "OK")</f>
        <v>OK</v>
      </c>
      <c r="L16" t="str">
        <f>_xlfn.XLOOKUP(admissions[[#This Row],[neuro_flag]], flag_lookup[flag_value], flag_lookup[flag_label])</f>
        <v>General ICU</v>
      </c>
    </row>
    <row r="17" spans="1:12" x14ac:dyDescent="0.2">
      <c r="A17">
        <v>112662</v>
      </c>
      <c r="B17">
        <v>43735</v>
      </c>
      <c r="C17" t="s">
        <v>10</v>
      </c>
      <c r="D17">
        <v>82</v>
      </c>
      <c r="E17" s="1">
        <v>83585.670138888891</v>
      </c>
      <c r="F17" s="1">
        <v>83590.5</v>
      </c>
      <c r="G17">
        <v>1</v>
      </c>
      <c r="H17">
        <v>2.5408999999999899</v>
      </c>
      <c r="I17">
        <v>0</v>
      </c>
      <c r="J17" t="str">
        <f>IF(admissions[[#This Row],[age_at_admission]]&gt;100,"89+ (obscured)", "actual")</f>
        <v>actual</v>
      </c>
      <c r="K17" t="str">
        <f>IF(admissions[[#This Row],[dischtime]]&lt;admissions[[#This Row],[admittime]], "ERROR: discharge before admit", "OK")</f>
        <v>OK</v>
      </c>
      <c r="L17" t="str">
        <f>_xlfn.XLOOKUP(admissions[[#This Row],[neuro_flag]], flag_lookup[flag_value], flag_lookup[flag_label])</f>
        <v>General ICU</v>
      </c>
    </row>
    <row r="18" spans="1:12" x14ac:dyDescent="0.2">
      <c r="A18">
        <v>114648</v>
      </c>
      <c r="B18">
        <v>42321</v>
      </c>
      <c r="C18" t="s">
        <v>9</v>
      </c>
      <c r="D18">
        <v>80</v>
      </c>
      <c r="E18" s="1">
        <v>81061.867361111115</v>
      </c>
      <c r="F18" s="1">
        <v>81066.694444444438</v>
      </c>
      <c r="G18">
        <v>0</v>
      </c>
      <c r="H18">
        <v>1.9120999999999999</v>
      </c>
      <c r="I18">
        <v>1</v>
      </c>
      <c r="J18" t="str">
        <f>IF(admissions[[#This Row],[age_at_admission]]&gt;100,"89+ (obscured)", "actual")</f>
        <v>actual</v>
      </c>
      <c r="K18" t="str">
        <f>IF(admissions[[#This Row],[dischtime]]&lt;admissions[[#This Row],[admittime]], "ERROR: discharge before admit", "OK")</f>
        <v>OK</v>
      </c>
      <c r="L18" t="str">
        <f>_xlfn.XLOOKUP(admissions[[#This Row],[neuro_flag]], flag_lookup[flag_value], flag_lookup[flag_label])</f>
        <v>Neuro Cohort</v>
      </c>
    </row>
    <row r="19" spans="1:12" x14ac:dyDescent="0.2">
      <c r="A19">
        <v>114867</v>
      </c>
      <c r="B19">
        <v>42412</v>
      </c>
      <c r="C19" t="s">
        <v>10</v>
      </c>
      <c r="D19">
        <v>86</v>
      </c>
      <c r="E19" s="1">
        <v>97144.513194444444</v>
      </c>
      <c r="F19" s="1">
        <v>97150.597222222219</v>
      </c>
      <c r="G19">
        <v>0</v>
      </c>
      <c r="H19">
        <v>1.7403999999999999</v>
      </c>
      <c r="I19">
        <v>0</v>
      </c>
      <c r="J19" t="str">
        <f>IF(admissions[[#This Row],[age_at_admission]]&gt;100,"89+ (obscured)", "actual")</f>
        <v>actual</v>
      </c>
      <c r="K19" t="str">
        <f>IF(admissions[[#This Row],[dischtime]]&lt;admissions[[#This Row],[admittime]], "ERROR: discharge before admit", "OK")</f>
        <v>OK</v>
      </c>
      <c r="L19" t="str">
        <f>_xlfn.XLOOKUP(admissions[[#This Row],[neuro_flag]], flag_lookup[flag_value], flag_lookup[flag_label])</f>
        <v>General ICU</v>
      </c>
    </row>
    <row r="20" spans="1:12" x14ac:dyDescent="0.2">
      <c r="A20">
        <v>116518</v>
      </c>
      <c r="B20">
        <v>40595</v>
      </c>
      <c r="C20" t="s">
        <v>9</v>
      </c>
      <c r="D20">
        <v>76</v>
      </c>
      <c r="E20" s="1">
        <v>89409.448611111118</v>
      </c>
      <c r="F20" s="1">
        <v>89418.375</v>
      </c>
      <c r="G20">
        <v>0</v>
      </c>
      <c r="H20">
        <v>8.9254999999999995</v>
      </c>
      <c r="I20">
        <v>0</v>
      </c>
      <c r="J20" t="str">
        <f>IF(admissions[[#This Row],[age_at_admission]]&gt;100,"89+ (obscured)", "actual")</f>
        <v>actual</v>
      </c>
      <c r="K20" t="str">
        <f>IF(admissions[[#This Row],[dischtime]]&lt;admissions[[#This Row],[admittime]], "ERROR: discharge before admit", "OK")</f>
        <v>OK</v>
      </c>
      <c r="L20" t="str">
        <f>_xlfn.XLOOKUP(admissions[[#This Row],[neuro_flag]], flag_lookup[flag_value], flag_lookup[flag_label])</f>
        <v>General ICU</v>
      </c>
    </row>
    <row r="21" spans="1:12" x14ac:dyDescent="0.2">
      <c r="A21">
        <v>117105</v>
      </c>
      <c r="B21">
        <v>42135</v>
      </c>
      <c r="C21" t="s">
        <v>10</v>
      </c>
      <c r="D21">
        <v>44</v>
      </c>
      <c r="E21" s="1">
        <v>83190.875</v>
      </c>
      <c r="F21" s="1">
        <v>83212.534722222219</v>
      </c>
      <c r="G21">
        <v>1</v>
      </c>
      <c r="H21">
        <v>21.413599999999999</v>
      </c>
      <c r="I21">
        <v>0</v>
      </c>
      <c r="J21" t="str">
        <f>IF(admissions[[#This Row],[age_at_admission]]&gt;100,"89+ (obscured)", "actual")</f>
        <v>actual</v>
      </c>
      <c r="K21" t="str">
        <f>IF(admissions[[#This Row],[dischtime]]&lt;admissions[[#This Row],[admittime]], "ERROR: discharge before admit", "OK")</f>
        <v>OK</v>
      </c>
      <c r="L21" t="str">
        <f>_xlfn.XLOOKUP(admissions[[#This Row],[neuro_flag]], flag_lookup[flag_value], flag_lookup[flag_label])</f>
        <v>General ICU</v>
      </c>
    </row>
    <row r="22" spans="1:12" x14ac:dyDescent="0.2">
      <c r="A22">
        <v>118192</v>
      </c>
      <c r="B22">
        <v>41795</v>
      </c>
      <c r="C22" t="s">
        <v>10</v>
      </c>
      <c r="D22">
        <v>49</v>
      </c>
      <c r="E22" s="1">
        <v>89735.369444444441</v>
      </c>
      <c r="F22" s="1">
        <v>89738.684027777781</v>
      </c>
      <c r="G22">
        <v>0</v>
      </c>
      <c r="H22">
        <v>1.4011</v>
      </c>
      <c r="I22">
        <v>0</v>
      </c>
      <c r="J22" t="str">
        <f>IF(admissions[[#This Row],[age_at_admission]]&gt;100,"89+ (obscured)", "actual")</f>
        <v>actual</v>
      </c>
      <c r="K22" t="str">
        <f>IF(admissions[[#This Row],[dischtime]]&lt;admissions[[#This Row],[admittime]], "ERROR: discharge before admit", "OK")</f>
        <v>OK</v>
      </c>
      <c r="L22" t="str">
        <f>_xlfn.XLOOKUP(admissions[[#This Row],[neuro_flag]], flag_lookup[flag_value], flag_lookup[flag_label])</f>
        <v>General ICU</v>
      </c>
    </row>
    <row r="23" spans="1:12" x14ac:dyDescent="0.2">
      <c r="A23">
        <v>121860</v>
      </c>
      <c r="B23">
        <v>43748</v>
      </c>
      <c r="C23" t="s">
        <v>10</v>
      </c>
      <c r="D23">
        <v>79</v>
      </c>
      <c r="E23" s="1">
        <v>102011.55</v>
      </c>
      <c r="F23" s="1">
        <v>102017.53819444444</v>
      </c>
      <c r="G23">
        <v>0</v>
      </c>
      <c r="H23">
        <v>4.2466999999999997</v>
      </c>
      <c r="I23">
        <v>0</v>
      </c>
      <c r="J23" t="str">
        <f>IF(admissions[[#This Row],[age_at_admission]]&gt;100,"89+ (obscured)", "actual")</f>
        <v>actual</v>
      </c>
      <c r="K23" t="str">
        <f>IF(admissions[[#This Row],[dischtime]]&lt;admissions[[#This Row],[admittime]], "ERROR: discharge before admit", "OK")</f>
        <v>OK</v>
      </c>
      <c r="L23" t="str">
        <f>_xlfn.XLOOKUP(admissions[[#This Row],[neuro_flag]], flag_lookup[flag_value], flag_lookup[flag_label])</f>
        <v>General ICU</v>
      </c>
    </row>
    <row r="24" spans="1:12" x14ac:dyDescent="0.2">
      <c r="A24">
        <v>122098</v>
      </c>
      <c r="B24">
        <v>10059</v>
      </c>
      <c r="C24" t="s">
        <v>10</v>
      </c>
      <c r="D24">
        <v>69</v>
      </c>
      <c r="E24" s="1">
        <v>91546.731249999997</v>
      </c>
      <c r="F24" s="1">
        <v>91553.763888888891</v>
      </c>
      <c r="G24">
        <v>1</v>
      </c>
      <c r="H24">
        <v>7.1082999999999998</v>
      </c>
      <c r="I24">
        <v>0</v>
      </c>
      <c r="J24" t="str">
        <f>IF(admissions[[#This Row],[age_at_admission]]&gt;100,"89+ (obscured)", "actual")</f>
        <v>actual</v>
      </c>
      <c r="K24" t="str">
        <f>IF(admissions[[#This Row],[dischtime]]&lt;admissions[[#This Row],[admittime]], "ERROR: discharge before admit", "OK")</f>
        <v>OK</v>
      </c>
      <c r="L24" t="str">
        <f>_xlfn.XLOOKUP(admissions[[#This Row],[neuro_flag]], flag_lookup[flag_value], flag_lookup[flag_label])</f>
        <v>General ICU</v>
      </c>
    </row>
    <row r="25" spans="1:12" x14ac:dyDescent="0.2">
      <c r="A25">
        <v>122928</v>
      </c>
      <c r="B25">
        <v>10094</v>
      </c>
      <c r="C25" t="s">
        <v>10</v>
      </c>
      <c r="D25">
        <v>300</v>
      </c>
      <c r="E25" s="1">
        <v>102344.94097222222</v>
      </c>
      <c r="F25" s="1">
        <v>102349.75</v>
      </c>
      <c r="G25">
        <v>1</v>
      </c>
      <c r="H25">
        <v>3.9712000000000001</v>
      </c>
      <c r="I25">
        <v>0</v>
      </c>
      <c r="J25" t="str">
        <f>IF(admissions[[#This Row],[age_at_admission]]&gt;100,"89+ (obscured)", "actual")</f>
        <v>89+ (obscured)</v>
      </c>
      <c r="K25" t="str">
        <f>IF(admissions[[#This Row],[dischtime]]&lt;admissions[[#This Row],[admittime]], "ERROR: discharge before admit", "OK")</f>
        <v>OK</v>
      </c>
      <c r="L25" t="str">
        <f>_xlfn.XLOOKUP(admissions[[#This Row],[neuro_flag]], flag_lookup[flag_value], flag_lookup[flag_label])</f>
        <v>General ICU</v>
      </c>
    </row>
    <row r="26" spans="1:12" x14ac:dyDescent="0.2">
      <c r="A26">
        <v>124073</v>
      </c>
      <c r="B26">
        <v>10044</v>
      </c>
      <c r="C26" t="s">
        <v>9</v>
      </c>
      <c r="D26">
        <v>81</v>
      </c>
      <c r="E26" s="1">
        <v>92318.683333333334</v>
      </c>
      <c r="F26" s="1">
        <v>92327.65416666666</v>
      </c>
      <c r="G26">
        <v>0</v>
      </c>
      <c r="H26">
        <v>4.6178999999999997</v>
      </c>
      <c r="I26">
        <v>0</v>
      </c>
      <c r="J26" t="str">
        <f>IF(admissions[[#This Row],[age_at_admission]]&gt;100,"89+ (obscured)", "actual")</f>
        <v>actual</v>
      </c>
      <c r="K26" t="str">
        <f>IF(admissions[[#This Row],[dischtime]]&lt;admissions[[#This Row],[admittime]], "ERROR: discharge before admit", "OK")</f>
        <v>OK</v>
      </c>
      <c r="L26" t="str">
        <f>_xlfn.XLOOKUP(admissions[[#This Row],[neuro_flag]], flag_lookup[flag_value], flag_lookup[flag_label])</f>
        <v>General ICU</v>
      </c>
    </row>
    <row r="27" spans="1:12" x14ac:dyDescent="0.2">
      <c r="A27">
        <v>125013</v>
      </c>
      <c r="B27">
        <v>41976</v>
      </c>
      <c r="C27" t="s">
        <v>10</v>
      </c>
      <c r="D27">
        <v>65</v>
      </c>
      <c r="E27" s="1">
        <v>110210.69930555555</v>
      </c>
      <c r="F27" s="1">
        <v>110213.66180555556</v>
      </c>
      <c r="G27">
        <v>0</v>
      </c>
      <c r="H27">
        <v>2.9731999999999998</v>
      </c>
      <c r="I27">
        <v>0</v>
      </c>
      <c r="J27" t="str">
        <f>IF(admissions[[#This Row],[age_at_admission]]&gt;100,"89+ (obscured)", "actual")</f>
        <v>actual</v>
      </c>
      <c r="K27" t="str">
        <f>IF(admissions[[#This Row],[dischtime]]&lt;admissions[[#This Row],[admittime]], "ERROR: discharge before admit", "OK")</f>
        <v>OK</v>
      </c>
      <c r="L27" t="str">
        <f>_xlfn.XLOOKUP(admissions[[#This Row],[neuro_flag]], flag_lookup[flag_value], flag_lookup[flag_label])</f>
        <v>General ICU</v>
      </c>
    </row>
    <row r="28" spans="1:12" x14ac:dyDescent="0.2">
      <c r="A28">
        <v>125157</v>
      </c>
      <c r="B28">
        <v>44083</v>
      </c>
      <c r="C28" t="s">
        <v>10</v>
      </c>
      <c r="D28">
        <v>54</v>
      </c>
      <c r="E28" s="1">
        <v>77557.333333333328</v>
      </c>
      <c r="F28" s="1">
        <v>77564.59375</v>
      </c>
      <c r="G28">
        <v>0</v>
      </c>
      <c r="H28">
        <v>1.9287000000000001</v>
      </c>
      <c r="I28">
        <v>0</v>
      </c>
      <c r="J28" t="str">
        <f>IF(admissions[[#This Row],[age_at_admission]]&gt;100,"89+ (obscured)", "actual")</f>
        <v>actual</v>
      </c>
      <c r="K28" t="str">
        <f>IF(admissions[[#This Row],[dischtime]]&lt;admissions[[#This Row],[admittime]], "ERROR: discharge before admit", "OK")</f>
        <v>OK</v>
      </c>
      <c r="L28" t="str">
        <f>_xlfn.XLOOKUP(admissions[[#This Row],[neuro_flag]], flag_lookup[flag_value], flag_lookup[flag_label])</f>
        <v>General ICU</v>
      </c>
    </row>
    <row r="29" spans="1:12" x14ac:dyDescent="0.2">
      <c r="A29">
        <v>125449</v>
      </c>
      <c r="B29">
        <v>41976</v>
      </c>
      <c r="C29" t="s">
        <v>10</v>
      </c>
      <c r="D29">
        <v>62</v>
      </c>
      <c r="E29" s="1">
        <v>109146.28750000001</v>
      </c>
      <c r="F29" s="1">
        <v>109153.63888888889</v>
      </c>
      <c r="G29">
        <v>0</v>
      </c>
      <c r="H29">
        <v>2.5802999999999998</v>
      </c>
      <c r="I29">
        <v>0</v>
      </c>
      <c r="J29" t="str">
        <f>IF(admissions[[#This Row],[age_at_admission]]&gt;100,"89+ (obscured)", "actual")</f>
        <v>actual</v>
      </c>
      <c r="K29" t="str">
        <f>IF(admissions[[#This Row],[dischtime]]&lt;admissions[[#This Row],[admittime]], "ERROR: discharge before admit", "OK")</f>
        <v>OK</v>
      </c>
      <c r="L29" t="str">
        <f>_xlfn.XLOOKUP(admissions[[#This Row],[neuro_flag]], flag_lookup[flag_value], flag_lookup[flag_label])</f>
        <v>General ICU</v>
      </c>
    </row>
    <row r="30" spans="1:12" x14ac:dyDescent="0.2">
      <c r="A30">
        <v>126002</v>
      </c>
      <c r="B30">
        <v>40655</v>
      </c>
      <c r="C30" t="s">
        <v>9</v>
      </c>
      <c r="D30">
        <v>299</v>
      </c>
      <c r="E30" s="1">
        <v>89320.813888888893</v>
      </c>
      <c r="F30" s="1">
        <v>89330.611805555556</v>
      </c>
      <c r="G30">
        <v>0</v>
      </c>
      <c r="H30">
        <v>0.71460000000000001</v>
      </c>
      <c r="I30">
        <v>0</v>
      </c>
      <c r="J30" t="str">
        <f>IF(admissions[[#This Row],[age_at_admission]]&gt;100,"89+ (obscured)", "actual")</f>
        <v>89+ (obscured)</v>
      </c>
      <c r="K30" t="str">
        <f>IF(admissions[[#This Row],[dischtime]]&lt;admissions[[#This Row],[admittime]], "ERROR: discharge before admit", "OK")</f>
        <v>OK</v>
      </c>
      <c r="L30" t="str">
        <f>_xlfn.XLOOKUP(admissions[[#This Row],[neuro_flag]], flag_lookup[flag_value], flag_lookup[flag_label])</f>
        <v>General ICU</v>
      </c>
    </row>
    <row r="31" spans="1:12" x14ac:dyDescent="0.2">
      <c r="A31">
        <v>126179</v>
      </c>
      <c r="B31">
        <v>40124</v>
      </c>
      <c r="C31" t="s">
        <v>9</v>
      </c>
      <c r="D31">
        <v>66</v>
      </c>
      <c r="E31" s="1">
        <v>84042.101388888885</v>
      </c>
      <c r="F31" s="1">
        <v>84048.735416666663</v>
      </c>
      <c r="G31">
        <v>0</v>
      </c>
      <c r="H31">
        <v>2.4548999999999999</v>
      </c>
      <c r="I31">
        <v>0</v>
      </c>
      <c r="J31" t="str">
        <f>IF(admissions[[#This Row],[age_at_admission]]&gt;100,"89+ (obscured)", "actual")</f>
        <v>actual</v>
      </c>
      <c r="K31" t="str">
        <f>IF(admissions[[#This Row],[dischtime]]&lt;admissions[[#This Row],[admittime]], "ERROR: discharge before admit", "OK")</f>
        <v>OK</v>
      </c>
      <c r="L31" t="str">
        <f>_xlfn.XLOOKUP(admissions[[#This Row],[neuro_flag]], flag_lookup[flag_value], flag_lookup[flag_label])</f>
        <v>General ICU</v>
      </c>
    </row>
    <row r="32" spans="1:12" x14ac:dyDescent="0.2">
      <c r="A32">
        <v>126949</v>
      </c>
      <c r="B32">
        <v>10045</v>
      </c>
      <c r="C32" t="s">
        <v>9</v>
      </c>
      <c r="D32">
        <v>68</v>
      </c>
      <c r="E32" s="1">
        <v>83970.021527777775</v>
      </c>
      <c r="F32" s="1">
        <v>83977.072916666672</v>
      </c>
      <c r="G32">
        <v>1</v>
      </c>
      <c r="H32">
        <v>6.3033999999999999</v>
      </c>
      <c r="I32">
        <v>0</v>
      </c>
      <c r="J32" t="str">
        <f>IF(admissions[[#This Row],[age_at_admission]]&gt;100,"89+ (obscured)", "actual")</f>
        <v>actual</v>
      </c>
      <c r="K32" t="str">
        <f>IF(admissions[[#This Row],[dischtime]]&lt;admissions[[#This Row],[admittime]], "ERROR: discharge before admit", "OK")</f>
        <v>OK</v>
      </c>
      <c r="L32" t="str">
        <f>_xlfn.XLOOKUP(admissions[[#This Row],[neuro_flag]], flag_lookup[flag_value], flag_lookup[flag_label])</f>
        <v>General ICU</v>
      </c>
    </row>
    <row r="33" spans="1:12" x14ac:dyDescent="0.2">
      <c r="A33">
        <v>127703</v>
      </c>
      <c r="B33">
        <v>40277</v>
      </c>
      <c r="C33" t="s">
        <v>9</v>
      </c>
      <c r="D33">
        <v>80</v>
      </c>
      <c r="E33" s="1">
        <v>91902.099305555559</v>
      </c>
      <c r="F33" s="1">
        <v>91906.791666666672</v>
      </c>
      <c r="G33">
        <v>0</v>
      </c>
      <c r="H33">
        <v>1.262</v>
      </c>
      <c r="I33">
        <v>0</v>
      </c>
      <c r="J33" t="str">
        <f>IF(admissions[[#This Row],[age_at_admission]]&gt;100,"89+ (obscured)", "actual")</f>
        <v>actual</v>
      </c>
      <c r="K33" t="str">
        <f>IF(admissions[[#This Row],[dischtime]]&lt;admissions[[#This Row],[admittime]], "ERROR: discharge before admit", "OK")</f>
        <v>OK</v>
      </c>
      <c r="L33" t="str">
        <f>_xlfn.XLOOKUP(admissions[[#This Row],[neuro_flag]], flag_lookup[flag_value], flag_lookup[flag_label])</f>
        <v>General ICU</v>
      </c>
    </row>
    <row r="34" spans="1:12" x14ac:dyDescent="0.2">
      <c r="A34">
        <v>128293</v>
      </c>
      <c r="B34">
        <v>42275</v>
      </c>
      <c r="C34" t="s">
        <v>10</v>
      </c>
      <c r="D34">
        <v>77</v>
      </c>
      <c r="E34" s="1">
        <v>86130.852777777778</v>
      </c>
      <c r="F34" s="1">
        <v>86133.723611111112</v>
      </c>
      <c r="G34">
        <v>0</v>
      </c>
      <c r="H34">
        <v>0.7974</v>
      </c>
      <c r="I34">
        <v>0</v>
      </c>
      <c r="J34" t="str">
        <f>IF(admissions[[#This Row],[age_at_admission]]&gt;100,"89+ (obscured)", "actual")</f>
        <v>actual</v>
      </c>
      <c r="K34" t="str">
        <f>IF(admissions[[#This Row],[dischtime]]&lt;admissions[[#This Row],[admittime]], "ERROR: discharge before admit", "OK")</f>
        <v>OK</v>
      </c>
      <c r="L34" t="str">
        <f>_xlfn.XLOOKUP(admissions[[#This Row],[neuro_flag]], flag_lookup[flag_value], flag_lookup[flag_label])</f>
        <v>General ICU</v>
      </c>
    </row>
    <row r="35" spans="1:12" x14ac:dyDescent="0.2">
      <c r="A35">
        <v>129273</v>
      </c>
      <c r="B35">
        <v>40687</v>
      </c>
      <c r="C35" t="s">
        <v>9</v>
      </c>
      <c r="D35">
        <v>81</v>
      </c>
      <c r="E35" s="1">
        <v>93205.107638888891</v>
      </c>
      <c r="F35" s="1">
        <v>93208.625</v>
      </c>
      <c r="G35">
        <v>1</v>
      </c>
      <c r="H35">
        <v>1.6694</v>
      </c>
      <c r="I35">
        <v>0</v>
      </c>
      <c r="J35" t="str">
        <f>IF(admissions[[#This Row],[age_at_admission]]&gt;100,"89+ (obscured)", "actual")</f>
        <v>actual</v>
      </c>
      <c r="K35" t="str">
        <f>IF(admissions[[#This Row],[dischtime]]&lt;admissions[[#This Row],[admittime]], "ERROR: discharge before admit", "OK")</f>
        <v>OK</v>
      </c>
      <c r="L35" t="str">
        <f>_xlfn.XLOOKUP(admissions[[#This Row],[neuro_flag]], flag_lookup[flag_value], flag_lookup[flag_label])</f>
        <v>General ICU</v>
      </c>
    </row>
    <row r="36" spans="1:12" x14ac:dyDescent="0.2">
      <c r="A36">
        <v>130681</v>
      </c>
      <c r="B36">
        <v>41976</v>
      </c>
      <c r="C36" t="s">
        <v>10</v>
      </c>
      <c r="D36">
        <v>64</v>
      </c>
      <c r="E36" s="1">
        <v>109876.86527777778</v>
      </c>
      <c r="F36" s="1">
        <v>109881.78125</v>
      </c>
      <c r="G36">
        <v>0</v>
      </c>
      <c r="H36">
        <v>4.9261999999999997</v>
      </c>
      <c r="I36">
        <v>0</v>
      </c>
      <c r="J36" t="str">
        <f>IF(admissions[[#This Row],[age_at_admission]]&gt;100,"89+ (obscured)", "actual")</f>
        <v>actual</v>
      </c>
      <c r="K36" t="str">
        <f>IF(admissions[[#This Row],[dischtime]]&lt;admissions[[#This Row],[admittime]], "ERROR: discharge before admit", "OK")</f>
        <v>OK</v>
      </c>
      <c r="L36" t="str">
        <f>_xlfn.XLOOKUP(admissions[[#This Row],[neuro_flag]], flag_lookup[flag_value], flag_lookup[flag_label])</f>
        <v>General ICU</v>
      </c>
    </row>
    <row r="37" spans="1:12" x14ac:dyDescent="0.2">
      <c r="A37">
        <v>130870</v>
      </c>
      <c r="B37">
        <v>43798</v>
      </c>
      <c r="C37" t="s">
        <v>10</v>
      </c>
      <c r="D37">
        <v>61</v>
      </c>
      <c r="E37" s="1">
        <v>109024.30208333333</v>
      </c>
      <c r="F37" s="1">
        <v>109063.99930555555</v>
      </c>
      <c r="G37">
        <v>0</v>
      </c>
      <c r="H37">
        <v>7.1075999999999997</v>
      </c>
      <c r="I37">
        <v>0</v>
      </c>
      <c r="J37" t="str">
        <f>IF(admissions[[#This Row],[age_at_admission]]&gt;100,"89+ (obscured)", "actual")</f>
        <v>actual</v>
      </c>
      <c r="K37" t="str">
        <f>IF(admissions[[#This Row],[dischtime]]&lt;admissions[[#This Row],[admittime]], "ERROR: discharge before admit", "OK")</f>
        <v>OK</v>
      </c>
      <c r="L37" t="str">
        <f>_xlfn.XLOOKUP(admissions[[#This Row],[neuro_flag]], flag_lookup[flag_value], flag_lookup[flag_label])</f>
        <v>General ICU</v>
      </c>
    </row>
    <row r="38" spans="1:12" x14ac:dyDescent="0.2">
      <c r="A38">
        <v>131048</v>
      </c>
      <c r="B38">
        <v>44083</v>
      </c>
      <c r="C38" t="s">
        <v>10</v>
      </c>
      <c r="D38">
        <v>54</v>
      </c>
      <c r="E38" s="1">
        <v>77575.650694444441</v>
      </c>
      <c r="F38" s="1">
        <v>77578.5625</v>
      </c>
      <c r="G38">
        <v>0</v>
      </c>
      <c r="H38">
        <v>2.1025999999999998</v>
      </c>
      <c r="I38">
        <v>0</v>
      </c>
      <c r="J38" t="str">
        <f>IF(admissions[[#This Row],[age_at_admission]]&gt;100,"89+ (obscured)", "actual")</f>
        <v>actual</v>
      </c>
      <c r="K38" t="str">
        <f>IF(admissions[[#This Row],[dischtime]]&lt;admissions[[#This Row],[admittime]], "ERROR: discharge before admit", "OK")</f>
        <v>OK</v>
      </c>
      <c r="L38" t="str">
        <f>_xlfn.XLOOKUP(admissions[[#This Row],[neuro_flag]], flag_lookup[flag_value], flag_lookup[flag_label])</f>
        <v>General ICU</v>
      </c>
    </row>
    <row r="39" spans="1:12" x14ac:dyDescent="0.2">
      <c r="A39">
        <v>132349</v>
      </c>
      <c r="B39">
        <v>10029</v>
      </c>
      <c r="C39" t="s">
        <v>10</v>
      </c>
      <c r="D39">
        <v>78</v>
      </c>
      <c r="E39" s="1">
        <v>87559.45694444445</v>
      </c>
      <c r="F39" s="1">
        <v>87569.603472222225</v>
      </c>
      <c r="G39">
        <v>0</v>
      </c>
      <c r="H39">
        <v>2.2624</v>
      </c>
      <c r="I39">
        <v>0</v>
      </c>
      <c r="J39" t="str">
        <f>IF(admissions[[#This Row],[age_at_admission]]&gt;100,"89+ (obscured)", "actual")</f>
        <v>actual</v>
      </c>
      <c r="K39" t="str">
        <f>IF(admissions[[#This Row],[dischtime]]&lt;admissions[[#This Row],[admittime]], "ERROR: discharge before admit", "OK")</f>
        <v>OK</v>
      </c>
      <c r="L39" t="str">
        <f>_xlfn.XLOOKUP(admissions[[#This Row],[neuro_flag]], flag_lookup[flag_value], flag_lookup[flag_label])</f>
        <v>General ICU</v>
      </c>
    </row>
    <row r="40" spans="1:12" x14ac:dyDescent="0.2">
      <c r="A40">
        <v>133110</v>
      </c>
      <c r="B40">
        <v>10046</v>
      </c>
      <c r="C40" t="s">
        <v>9</v>
      </c>
      <c r="D40">
        <v>53</v>
      </c>
      <c r="E40" s="1">
        <v>107590.98819444445</v>
      </c>
      <c r="F40" s="1">
        <v>107601.63333333333</v>
      </c>
      <c r="G40">
        <v>0</v>
      </c>
      <c r="H40">
        <v>2.8833000000000002</v>
      </c>
      <c r="I40">
        <v>0</v>
      </c>
      <c r="J40" t="str">
        <f>IF(admissions[[#This Row],[age_at_admission]]&gt;100,"89+ (obscured)", "actual")</f>
        <v>actual</v>
      </c>
      <c r="K40" t="str">
        <f>IF(admissions[[#This Row],[dischtime]]&lt;admissions[[#This Row],[admittime]], "ERROR: discharge before admit", "OK")</f>
        <v>OK</v>
      </c>
      <c r="L40" t="str">
        <f>_xlfn.XLOOKUP(admissions[[#This Row],[neuro_flag]], flag_lookup[flag_value], flag_lookup[flag_label])</f>
        <v>General ICU</v>
      </c>
    </row>
    <row r="41" spans="1:12" x14ac:dyDescent="0.2">
      <c r="A41">
        <v>133283</v>
      </c>
      <c r="B41">
        <v>10106</v>
      </c>
      <c r="C41" t="s">
        <v>10</v>
      </c>
      <c r="D41">
        <v>63</v>
      </c>
      <c r="E41" s="1">
        <v>95587.931944444441</v>
      </c>
      <c r="F41" s="1">
        <v>95592.708333333328</v>
      </c>
      <c r="G41">
        <v>0</v>
      </c>
      <c r="H41">
        <v>1.9231</v>
      </c>
      <c r="I41">
        <v>0</v>
      </c>
      <c r="J41" t="str">
        <f>IF(admissions[[#This Row],[age_at_admission]]&gt;100,"89+ (obscured)", "actual")</f>
        <v>actual</v>
      </c>
      <c r="K41" t="str">
        <f>IF(admissions[[#This Row],[dischtime]]&lt;admissions[[#This Row],[admittime]], "ERROR: discharge before admit", "OK")</f>
        <v>OK</v>
      </c>
      <c r="L41" t="str">
        <f>_xlfn.XLOOKUP(admissions[[#This Row],[neuro_flag]], flag_lookup[flag_value], flag_lookup[flag_label])</f>
        <v>General ICU</v>
      </c>
    </row>
    <row r="42" spans="1:12" x14ac:dyDescent="0.2">
      <c r="A42">
        <v>134993</v>
      </c>
      <c r="B42">
        <v>10083</v>
      </c>
      <c r="C42" t="s">
        <v>9</v>
      </c>
      <c r="D42">
        <v>82</v>
      </c>
      <c r="E42" s="1">
        <v>106977.19027777777</v>
      </c>
      <c r="F42" s="1">
        <v>106994.6875</v>
      </c>
      <c r="G42">
        <v>0</v>
      </c>
      <c r="H42">
        <v>4.5761000000000003</v>
      </c>
      <c r="I42">
        <v>0</v>
      </c>
      <c r="J42" t="str">
        <f>IF(admissions[[#This Row],[age_at_admission]]&gt;100,"89+ (obscured)", "actual")</f>
        <v>actual</v>
      </c>
      <c r="K42" t="str">
        <f>IF(admissions[[#This Row],[dischtime]]&lt;admissions[[#This Row],[admittime]], "ERROR: discharge before admit", "OK")</f>
        <v>OK</v>
      </c>
      <c r="L42" t="str">
        <f>_xlfn.XLOOKUP(admissions[[#This Row],[neuro_flag]], flag_lookup[flag_value], flag_lookup[flag_label])</f>
        <v>General ICU</v>
      </c>
    </row>
    <row r="43" spans="1:12" x14ac:dyDescent="0.2">
      <c r="A43">
        <v>138132</v>
      </c>
      <c r="B43">
        <v>41795</v>
      </c>
      <c r="C43" t="s">
        <v>10</v>
      </c>
      <c r="D43">
        <v>48</v>
      </c>
      <c r="E43" s="1">
        <v>89674.054861111115</v>
      </c>
      <c r="F43" s="1">
        <v>89687.802083333328</v>
      </c>
      <c r="G43">
        <v>0</v>
      </c>
      <c r="H43">
        <v>10.7341</v>
      </c>
      <c r="I43">
        <v>0</v>
      </c>
      <c r="J43" t="str">
        <f>IF(admissions[[#This Row],[age_at_admission]]&gt;100,"89+ (obscured)", "actual")</f>
        <v>actual</v>
      </c>
      <c r="K43" t="str">
        <f>IF(admissions[[#This Row],[dischtime]]&lt;admissions[[#This Row],[admittime]], "ERROR: discharge before admit", "OK")</f>
        <v>OK</v>
      </c>
      <c r="L43" t="str">
        <f>_xlfn.XLOOKUP(admissions[[#This Row],[neuro_flag]], flag_lookup[flag_value], flag_lookup[flag_label])</f>
        <v>General ICU</v>
      </c>
    </row>
    <row r="44" spans="1:12" x14ac:dyDescent="0.2">
      <c r="A44">
        <v>138503</v>
      </c>
      <c r="B44">
        <v>42292</v>
      </c>
      <c r="C44" t="s">
        <v>10</v>
      </c>
      <c r="D44">
        <v>63</v>
      </c>
      <c r="E44" s="1">
        <v>95711.580555555556</v>
      </c>
      <c r="F44" s="1">
        <v>95714.572916666672</v>
      </c>
      <c r="G44">
        <v>0</v>
      </c>
      <c r="H44">
        <v>1.0316000000000001</v>
      </c>
      <c r="I44">
        <v>0</v>
      </c>
      <c r="J44" t="str">
        <f>IF(admissions[[#This Row],[age_at_admission]]&gt;100,"89+ (obscured)", "actual")</f>
        <v>actual</v>
      </c>
      <c r="K44" t="str">
        <f>IF(admissions[[#This Row],[dischtime]]&lt;admissions[[#This Row],[admittime]], "ERROR: discharge before admit", "OK")</f>
        <v>OK</v>
      </c>
      <c r="L44" t="str">
        <f>_xlfn.XLOOKUP(admissions[[#This Row],[neuro_flag]], flag_lookup[flag_value], flag_lookup[flag_label])</f>
        <v>General ICU</v>
      </c>
    </row>
    <row r="45" spans="1:12" x14ac:dyDescent="0.2">
      <c r="A45">
        <v>139932</v>
      </c>
      <c r="B45">
        <v>42367</v>
      </c>
      <c r="C45" t="s">
        <v>9</v>
      </c>
      <c r="D45">
        <v>87</v>
      </c>
      <c r="E45" s="1">
        <v>90492.673611111109</v>
      </c>
      <c r="F45" s="1">
        <v>90524.8125</v>
      </c>
      <c r="G45">
        <v>1</v>
      </c>
      <c r="H45">
        <v>29.260100000000001</v>
      </c>
      <c r="I45">
        <v>1</v>
      </c>
      <c r="J45" t="str">
        <f>IF(admissions[[#This Row],[age_at_admission]]&gt;100,"89+ (obscured)", "actual")</f>
        <v>actual</v>
      </c>
      <c r="K45" t="str">
        <f>IF(admissions[[#This Row],[dischtime]]&lt;admissions[[#This Row],[admittime]], "ERROR: discharge before admit", "OK")</f>
        <v>OK</v>
      </c>
      <c r="L45" t="str">
        <f>_xlfn.XLOOKUP(admissions[[#This Row],[neuro_flag]], flag_lookup[flag_value], flag_lookup[flag_label])</f>
        <v>Neuro Cohort</v>
      </c>
    </row>
    <row r="46" spans="1:12" x14ac:dyDescent="0.2">
      <c r="A46">
        <v>140372</v>
      </c>
      <c r="B46">
        <v>10032</v>
      </c>
      <c r="C46" t="s">
        <v>10</v>
      </c>
      <c r="D46">
        <v>88</v>
      </c>
      <c r="E46" s="1">
        <v>87021.827777777784</v>
      </c>
      <c r="F46" s="1">
        <v>87034.607638888891</v>
      </c>
      <c r="G46">
        <v>0</v>
      </c>
      <c r="H46">
        <v>3.7120000000000002</v>
      </c>
      <c r="I46">
        <v>0</v>
      </c>
      <c r="J46" t="str">
        <f>IF(admissions[[#This Row],[age_at_admission]]&gt;100,"89+ (obscured)", "actual")</f>
        <v>actual</v>
      </c>
      <c r="K46" t="str">
        <f>IF(admissions[[#This Row],[dischtime]]&lt;admissions[[#This Row],[admittime]], "ERROR: discharge before admit", "OK")</f>
        <v>OK</v>
      </c>
      <c r="L46" t="str">
        <f>_xlfn.XLOOKUP(admissions[[#This Row],[neuro_flag]], flag_lookup[flag_value], flag_lookup[flag_label])</f>
        <v>General ICU</v>
      </c>
    </row>
    <row r="47" spans="1:12" x14ac:dyDescent="0.2">
      <c r="A47">
        <v>142345</v>
      </c>
      <c r="B47">
        <v>10006</v>
      </c>
      <c r="C47" t="s">
        <v>9</v>
      </c>
      <c r="D47">
        <v>70</v>
      </c>
      <c r="E47" s="1">
        <v>96722.881250000006</v>
      </c>
      <c r="F47" s="1">
        <v>96731.71875</v>
      </c>
      <c r="G47">
        <v>0</v>
      </c>
      <c r="H47">
        <v>1.6325000000000001</v>
      </c>
      <c r="I47">
        <v>0</v>
      </c>
      <c r="J47" t="str">
        <f>IF(admissions[[#This Row],[age_at_admission]]&gt;100,"89+ (obscured)", "actual")</f>
        <v>actual</v>
      </c>
      <c r="K47" t="str">
        <f>IF(admissions[[#This Row],[dischtime]]&lt;admissions[[#This Row],[admittime]], "ERROR: discharge before admit", "OK")</f>
        <v>OK</v>
      </c>
      <c r="L47" t="str">
        <f>_xlfn.XLOOKUP(admissions[[#This Row],[neuro_flag]], flag_lookup[flag_value], flag_lookup[flag_label])</f>
        <v>General ICU</v>
      </c>
    </row>
    <row r="48" spans="1:12" x14ac:dyDescent="0.2">
      <c r="A48">
        <v>142539</v>
      </c>
      <c r="B48">
        <v>10101</v>
      </c>
      <c r="C48" t="s">
        <v>10</v>
      </c>
      <c r="D48">
        <v>72</v>
      </c>
      <c r="E48" s="1">
        <v>83358.734027777784</v>
      </c>
      <c r="F48" s="1">
        <v>83360.791666666672</v>
      </c>
      <c r="G48">
        <v>1</v>
      </c>
      <c r="H48">
        <v>0.94469999999999998</v>
      </c>
      <c r="I48">
        <v>0</v>
      </c>
      <c r="J48" t="str">
        <f>IF(admissions[[#This Row],[age_at_admission]]&gt;100,"89+ (obscured)", "actual")</f>
        <v>actual</v>
      </c>
      <c r="K48" t="str">
        <f>IF(admissions[[#This Row],[dischtime]]&lt;admissions[[#This Row],[admittime]], "ERROR: discharge before admit", "OK")</f>
        <v>OK</v>
      </c>
      <c r="L48" t="str">
        <f>_xlfn.XLOOKUP(admissions[[#This Row],[neuro_flag]], flag_lookup[flag_value], flag_lookup[flag_label])</f>
        <v>General ICU</v>
      </c>
    </row>
    <row r="49" spans="1:12" x14ac:dyDescent="0.2">
      <c r="A49">
        <v>142582</v>
      </c>
      <c r="B49">
        <v>10059</v>
      </c>
      <c r="C49" t="s">
        <v>10</v>
      </c>
      <c r="D49">
        <v>69</v>
      </c>
      <c r="E49" s="1">
        <v>91531.902777777781</v>
      </c>
      <c r="F49" s="1">
        <v>91537.481249999997</v>
      </c>
      <c r="G49">
        <v>0</v>
      </c>
      <c r="H49">
        <v>1.7806</v>
      </c>
      <c r="I49">
        <v>0</v>
      </c>
      <c r="J49" t="str">
        <f>IF(admissions[[#This Row],[age_at_admission]]&gt;100,"89+ (obscured)", "actual")</f>
        <v>actual</v>
      </c>
      <c r="K49" t="str">
        <f>IF(admissions[[#This Row],[dischtime]]&lt;admissions[[#This Row],[admittime]], "ERROR: discharge before admit", "OK")</f>
        <v>OK</v>
      </c>
      <c r="L49" t="str">
        <f>_xlfn.XLOOKUP(admissions[[#This Row],[neuro_flag]], flag_lookup[flag_value], flag_lookup[flag_label])</f>
        <v>General ICU</v>
      </c>
    </row>
    <row r="50" spans="1:12" x14ac:dyDescent="0.2">
      <c r="A50">
        <v>142633</v>
      </c>
      <c r="B50">
        <v>43870</v>
      </c>
      <c r="C50" t="s">
        <v>9</v>
      </c>
      <c r="D50">
        <v>88</v>
      </c>
      <c r="E50" s="1">
        <v>104501.89722222222</v>
      </c>
      <c r="F50" s="1">
        <v>104504.00486111111</v>
      </c>
      <c r="G50">
        <v>1</v>
      </c>
      <c r="H50">
        <v>2.2820999999999998</v>
      </c>
      <c r="I50">
        <v>0</v>
      </c>
      <c r="J50" t="str">
        <f>IF(admissions[[#This Row],[age_at_admission]]&gt;100,"89+ (obscured)", "actual")</f>
        <v>actual</v>
      </c>
      <c r="K50" t="str">
        <f>IF(admissions[[#This Row],[dischtime]]&lt;admissions[[#This Row],[admittime]], "ERROR: discharge before admit", "OK")</f>
        <v>OK</v>
      </c>
      <c r="L50" t="str">
        <f>_xlfn.XLOOKUP(admissions[[#This Row],[neuro_flag]], flag_lookup[flag_value], flag_lookup[flag_label])</f>
        <v>General ICU</v>
      </c>
    </row>
    <row r="51" spans="1:12" x14ac:dyDescent="0.2">
      <c r="A51">
        <v>145024</v>
      </c>
      <c r="B51">
        <v>41976</v>
      </c>
      <c r="C51" t="s">
        <v>10</v>
      </c>
      <c r="D51">
        <v>65</v>
      </c>
      <c r="E51" s="1">
        <v>110425.91666666667</v>
      </c>
      <c r="F51" s="1">
        <v>110428.77916666666</v>
      </c>
      <c r="G51">
        <v>0</v>
      </c>
      <c r="H51">
        <v>1.0176000000000001</v>
      </c>
      <c r="I51">
        <v>0</v>
      </c>
      <c r="J51" t="str">
        <f>IF(admissions[[#This Row],[age_at_admission]]&gt;100,"89+ (obscured)", "actual")</f>
        <v>actual</v>
      </c>
      <c r="K51" t="str">
        <f>IF(admissions[[#This Row],[dischtime]]&lt;admissions[[#This Row],[admittime]], "ERROR: discharge before admit", "OK")</f>
        <v>OK</v>
      </c>
      <c r="L51" t="str">
        <f>_xlfn.XLOOKUP(admissions[[#This Row],[neuro_flag]], flag_lookup[flag_value], flag_lookup[flag_label])</f>
        <v>General ICU</v>
      </c>
    </row>
    <row r="52" spans="1:12" x14ac:dyDescent="0.2">
      <c r="A52">
        <v>145203</v>
      </c>
      <c r="B52">
        <v>10061</v>
      </c>
      <c r="C52" t="s">
        <v>9</v>
      </c>
      <c r="D52">
        <v>75</v>
      </c>
      <c r="E52" s="1">
        <v>75622.481249999997</v>
      </c>
      <c r="F52" s="1">
        <v>75647.479166666672</v>
      </c>
      <c r="G52">
        <v>0</v>
      </c>
      <c r="H52">
        <v>24.9968</v>
      </c>
      <c r="I52">
        <v>0</v>
      </c>
      <c r="J52" t="str">
        <f>IF(admissions[[#This Row],[age_at_admission]]&gt;100,"89+ (obscured)", "actual")</f>
        <v>actual</v>
      </c>
      <c r="K52" t="str">
        <f>IF(admissions[[#This Row],[dischtime]]&lt;admissions[[#This Row],[admittime]], "ERROR: discharge before admit", "OK")</f>
        <v>OK</v>
      </c>
      <c r="L52" t="str">
        <f>_xlfn.XLOOKUP(admissions[[#This Row],[neuro_flag]], flag_lookup[flag_value], flag_lookup[flag_label])</f>
        <v>General ICU</v>
      </c>
    </row>
    <row r="53" spans="1:12" x14ac:dyDescent="0.2">
      <c r="A53">
        <v>146672</v>
      </c>
      <c r="B53">
        <v>10069</v>
      </c>
      <c r="C53" t="s">
        <v>9</v>
      </c>
      <c r="D53">
        <v>41</v>
      </c>
      <c r="E53" s="1">
        <v>105230.46875</v>
      </c>
      <c r="F53" s="1">
        <v>105249.77847222223</v>
      </c>
      <c r="G53">
        <v>1</v>
      </c>
      <c r="H53">
        <v>15.041</v>
      </c>
      <c r="I53">
        <v>1</v>
      </c>
      <c r="J53" t="str">
        <f>IF(admissions[[#This Row],[age_at_admission]]&gt;100,"89+ (obscured)", "actual")</f>
        <v>actual</v>
      </c>
      <c r="K53" t="str">
        <f>IF(admissions[[#This Row],[dischtime]]&lt;admissions[[#This Row],[admittime]], "ERROR: discharge before admit", "OK")</f>
        <v>OK</v>
      </c>
      <c r="L53" t="str">
        <f>_xlfn.XLOOKUP(admissions[[#This Row],[neuro_flag]], flag_lookup[flag_value], flag_lookup[flag_label])</f>
        <v>Neuro Cohort</v>
      </c>
    </row>
    <row r="54" spans="1:12" x14ac:dyDescent="0.2">
      <c r="A54">
        <v>146893</v>
      </c>
      <c r="B54">
        <v>40124</v>
      </c>
      <c r="C54" t="s">
        <v>9</v>
      </c>
      <c r="D54">
        <v>67</v>
      </c>
      <c r="E54" s="1">
        <v>84231.242361111115</v>
      </c>
      <c r="F54" s="1">
        <v>84237.645833333328</v>
      </c>
      <c r="G54">
        <v>0</v>
      </c>
      <c r="H54">
        <v>3.7515999999999998</v>
      </c>
      <c r="I54">
        <v>0</v>
      </c>
      <c r="J54" t="str">
        <f>IF(admissions[[#This Row],[age_at_admission]]&gt;100,"89+ (obscured)", "actual")</f>
        <v>actual</v>
      </c>
      <c r="K54" t="str">
        <f>IF(admissions[[#This Row],[dischtime]]&lt;admissions[[#This Row],[admittime]], "ERROR: discharge before admit", "OK")</f>
        <v>OK</v>
      </c>
      <c r="L54" t="str">
        <f>_xlfn.XLOOKUP(admissions[[#This Row],[neuro_flag]], flag_lookup[flag_value], flag_lookup[flag_label])</f>
        <v>General ICU</v>
      </c>
    </row>
    <row r="55" spans="1:12" x14ac:dyDescent="0.2">
      <c r="A55">
        <v>148562</v>
      </c>
      <c r="B55">
        <v>10042</v>
      </c>
      <c r="C55" t="s">
        <v>10</v>
      </c>
      <c r="D55">
        <v>70</v>
      </c>
      <c r="E55" s="1">
        <v>90253.526388888888</v>
      </c>
      <c r="F55" s="1">
        <v>90264.791666666672</v>
      </c>
      <c r="G55">
        <v>0</v>
      </c>
      <c r="H55">
        <v>8.1415000000000006</v>
      </c>
      <c r="I55">
        <v>0</v>
      </c>
      <c r="J55" t="str">
        <f>IF(admissions[[#This Row],[age_at_admission]]&gt;100,"89+ (obscured)", "actual")</f>
        <v>actual</v>
      </c>
      <c r="K55" t="str">
        <f>IF(admissions[[#This Row],[dischtime]]&lt;admissions[[#This Row],[admittime]], "ERROR: discharge before admit", "OK")</f>
        <v>OK</v>
      </c>
      <c r="L55" t="str">
        <f>_xlfn.XLOOKUP(admissions[[#This Row],[neuro_flag]], flag_lookup[flag_value], flag_lookup[flag_label])</f>
        <v>General ICU</v>
      </c>
    </row>
    <row r="56" spans="1:12" x14ac:dyDescent="0.2">
      <c r="A56">
        <v>149044</v>
      </c>
      <c r="B56">
        <v>10088</v>
      </c>
      <c r="C56" t="s">
        <v>10</v>
      </c>
      <c r="D56">
        <v>77</v>
      </c>
      <c r="E56" s="1">
        <v>75738.75</v>
      </c>
      <c r="F56" s="1">
        <v>75744.5625</v>
      </c>
      <c r="G56">
        <v>0</v>
      </c>
      <c r="H56">
        <v>2.0091000000000001</v>
      </c>
      <c r="I56">
        <v>1</v>
      </c>
      <c r="J56" t="str">
        <f>IF(admissions[[#This Row],[age_at_admission]]&gt;100,"89+ (obscured)", "actual")</f>
        <v>actual</v>
      </c>
      <c r="K56" t="str">
        <f>IF(admissions[[#This Row],[dischtime]]&lt;admissions[[#This Row],[admittime]], "ERROR: discharge before admit", "OK")</f>
        <v>OK</v>
      </c>
      <c r="L56" t="str">
        <f>_xlfn.XLOOKUP(admissions[[#This Row],[neuro_flag]], flag_lookup[flag_value], flag_lookup[flag_label])</f>
        <v>Neuro Cohort</v>
      </c>
    </row>
    <row r="57" spans="1:12" x14ac:dyDescent="0.2">
      <c r="A57">
        <v>149469</v>
      </c>
      <c r="B57">
        <v>41976</v>
      </c>
      <c r="C57" t="s">
        <v>10</v>
      </c>
      <c r="D57">
        <v>66</v>
      </c>
      <c r="E57" s="1">
        <v>110563.91388888888</v>
      </c>
      <c r="F57" s="1">
        <v>110570.68055555556</v>
      </c>
      <c r="G57">
        <v>0</v>
      </c>
      <c r="H57">
        <v>1.9456</v>
      </c>
      <c r="I57">
        <v>0</v>
      </c>
      <c r="J57" t="str">
        <f>IF(admissions[[#This Row],[age_at_admission]]&gt;100,"89+ (obscured)", "actual")</f>
        <v>actual</v>
      </c>
      <c r="K57" t="str">
        <f>IF(admissions[[#This Row],[dischtime]]&lt;admissions[[#This Row],[admittime]], "ERROR: discharge before admit", "OK")</f>
        <v>OK</v>
      </c>
      <c r="L57" t="str">
        <f>_xlfn.XLOOKUP(admissions[[#This Row],[neuro_flag]], flag_lookup[flag_value], flag_lookup[flag_label])</f>
        <v>General ICU</v>
      </c>
    </row>
    <row r="58" spans="1:12" x14ac:dyDescent="0.2">
      <c r="A58">
        <v>149950</v>
      </c>
      <c r="B58">
        <v>43827</v>
      </c>
      <c r="C58" t="s">
        <v>9</v>
      </c>
      <c r="D58">
        <v>299</v>
      </c>
      <c r="E58" s="1">
        <v>101004.55833333333</v>
      </c>
      <c r="F58" s="1">
        <v>101008.625</v>
      </c>
      <c r="G58">
        <v>0</v>
      </c>
      <c r="H58">
        <v>2.4030999999999998</v>
      </c>
      <c r="I58">
        <v>0</v>
      </c>
      <c r="J58" t="str">
        <f>IF(admissions[[#This Row],[age_at_admission]]&gt;100,"89+ (obscured)", "actual")</f>
        <v>89+ (obscured)</v>
      </c>
      <c r="K58" t="str">
        <f>IF(admissions[[#This Row],[dischtime]]&lt;admissions[[#This Row],[admittime]], "ERROR: discharge before admit", "OK")</f>
        <v>OK</v>
      </c>
      <c r="L58" t="str">
        <f>_xlfn.XLOOKUP(admissions[[#This Row],[neuro_flag]], flag_lookup[flag_value], flag_lookup[flag_label])</f>
        <v>General ICU</v>
      </c>
    </row>
    <row r="59" spans="1:12" x14ac:dyDescent="0.2">
      <c r="A59">
        <v>151323</v>
      </c>
      <c r="B59">
        <v>42075</v>
      </c>
      <c r="C59" t="s">
        <v>10</v>
      </c>
      <c r="D59">
        <v>80</v>
      </c>
      <c r="E59" s="1">
        <v>97199.74791666666</v>
      </c>
      <c r="F59" s="1">
        <v>97213</v>
      </c>
      <c r="G59">
        <v>1</v>
      </c>
      <c r="H59">
        <v>13.356999999999999</v>
      </c>
      <c r="I59">
        <v>0</v>
      </c>
      <c r="J59" t="str">
        <f>IF(admissions[[#This Row],[age_at_admission]]&gt;100,"89+ (obscured)", "actual")</f>
        <v>actual</v>
      </c>
      <c r="K59" t="str">
        <f>IF(admissions[[#This Row],[dischtime]]&lt;admissions[[#This Row],[admittime]], "ERROR: discharge before admit", "OK")</f>
        <v>OK</v>
      </c>
      <c r="L59" t="str">
        <f>_xlfn.XLOOKUP(admissions[[#This Row],[neuro_flag]], flag_lookup[flag_value], flag_lookup[flag_label])</f>
        <v>General ICU</v>
      </c>
    </row>
    <row r="60" spans="1:12" x14ac:dyDescent="0.2">
      <c r="A60">
        <v>151798</v>
      </c>
      <c r="B60">
        <v>41976</v>
      </c>
      <c r="C60" t="s">
        <v>10</v>
      </c>
      <c r="D60">
        <v>65</v>
      </c>
      <c r="E60" s="1">
        <v>110350.79236111112</v>
      </c>
      <c r="F60" s="1">
        <v>110354.69583333333</v>
      </c>
      <c r="G60">
        <v>0</v>
      </c>
      <c r="H60">
        <v>1.3129</v>
      </c>
      <c r="I60">
        <v>0</v>
      </c>
      <c r="J60" t="str">
        <f>IF(admissions[[#This Row],[age_at_admission]]&gt;100,"89+ (obscured)", "actual")</f>
        <v>actual</v>
      </c>
      <c r="K60" t="str">
        <f>IF(admissions[[#This Row],[dischtime]]&lt;admissions[[#This Row],[admittime]], "ERROR: discharge before admit", "OK")</f>
        <v>OK</v>
      </c>
      <c r="L60" t="str">
        <f>_xlfn.XLOOKUP(admissions[[#This Row],[neuro_flag]], flag_lookup[flag_value], flag_lookup[flag_label])</f>
        <v>General ICU</v>
      </c>
    </row>
    <row r="61" spans="1:12" x14ac:dyDescent="0.2">
      <c r="A61">
        <v>152032</v>
      </c>
      <c r="B61">
        <v>41976</v>
      </c>
      <c r="C61" t="s">
        <v>10</v>
      </c>
      <c r="D61">
        <v>63</v>
      </c>
      <c r="E61" s="1">
        <v>109734.67638888888</v>
      </c>
      <c r="F61" s="1">
        <v>109738.75694444444</v>
      </c>
      <c r="G61">
        <v>0</v>
      </c>
      <c r="H61">
        <v>2.0829</v>
      </c>
      <c r="I61">
        <v>0</v>
      </c>
      <c r="J61" t="str">
        <f>IF(admissions[[#This Row],[age_at_admission]]&gt;100,"89+ (obscured)", "actual")</f>
        <v>actual</v>
      </c>
      <c r="K61" t="str">
        <f>IF(admissions[[#This Row],[dischtime]]&lt;admissions[[#This Row],[admittime]], "ERROR: discharge before admit", "OK")</f>
        <v>OK</v>
      </c>
      <c r="L61" t="str">
        <f>_xlfn.XLOOKUP(admissions[[#This Row],[neuro_flag]], flag_lookup[flag_value], flag_lookup[flag_label])</f>
        <v>General ICU</v>
      </c>
    </row>
    <row r="62" spans="1:12" x14ac:dyDescent="0.2">
      <c r="A62">
        <v>153826</v>
      </c>
      <c r="B62">
        <v>41976</v>
      </c>
      <c r="C62" t="s">
        <v>10</v>
      </c>
      <c r="D62">
        <v>66</v>
      </c>
      <c r="E62" s="1">
        <v>110580.07291666667</v>
      </c>
      <c r="F62" s="1">
        <v>110588.6875</v>
      </c>
      <c r="G62">
        <v>0</v>
      </c>
      <c r="H62">
        <v>1.6396999999999999</v>
      </c>
      <c r="I62">
        <v>0</v>
      </c>
      <c r="J62" t="str">
        <f>IF(admissions[[#This Row],[age_at_admission]]&gt;100,"89+ (obscured)", "actual")</f>
        <v>actual</v>
      </c>
      <c r="K62" t="str">
        <f>IF(admissions[[#This Row],[dischtime]]&lt;admissions[[#This Row],[admittime]], "ERROR: discharge before admit", "OK")</f>
        <v>OK</v>
      </c>
      <c r="L62" t="str">
        <f>_xlfn.XLOOKUP(admissions[[#This Row],[neuro_flag]], flag_lookup[flag_value], flag_lookup[flag_label])</f>
        <v>General ICU</v>
      </c>
    </row>
    <row r="63" spans="1:12" x14ac:dyDescent="0.2">
      <c r="A63">
        <v>154156</v>
      </c>
      <c r="B63">
        <v>42033</v>
      </c>
      <c r="C63" t="s">
        <v>9</v>
      </c>
      <c r="D63">
        <v>85</v>
      </c>
      <c r="E63" s="1">
        <v>84579.717361111107</v>
      </c>
      <c r="F63" s="1">
        <v>84581.66805555555</v>
      </c>
      <c r="G63">
        <v>1</v>
      </c>
      <c r="H63">
        <v>0.87990000000000002</v>
      </c>
      <c r="I63">
        <v>0</v>
      </c>
      <c r="J63" t="str">
        <f>IF(admissions[[#This Row],[age_at_admission]]&gt;100,"89+ (obscured)", "actual")</f>
        <v>actual</v>
      </c>
      <c r="K63" t="str">
        <f>IF(admissions[[#This Row],[dischtime]]&lt;admissions[[#This Row],[admittime]], "ERROR: discharge before admit", "OK")</f>
        <v>OK</v>
      </c>
      <c r="L63" t="str">
        <f>_xlfn.XLOOKUP(admissions[[#This Row],[neuro_flag]], flag_lookup[flag_value], flag_lookup[flag_label])</f>
        <v>General ICU</v>
      </c>
    </row>
    <row r="64" spans="1:12" x14ac:dyDescent="0.2">
      <c r="A64">
        <v>155297</v>
      </c>
      <c r="B64">
        <v>41976</v>
      </c>
      <c r="C64" t="s">
        <v>10</v>
      </c>
      <c r="D64">
        <v>65</v>
      </c>
      <c r="E64" s="1">
        <v>110259.95833333333</v>
      </c>
      <c r="F64" s="1">
        <v>110262.6875</v>
      </c>
      <c r="G64">
        <v>0</v>
      </c>
      <c r="H64">
        <v>2.7361</v>
      </c>
      <c r="I64">
        <v>0</v>
      </c>
      <c r="J64" t="str">
        <f>IF(admissions[[#This Row],[age_at_admission]]&gt;100,"89+ (obscured)", "actual")</f>
        <v>actual</v>
      </c>
      <c r="K64" t="str">
        <f>IF(admissions[[#This Row],[dischtime]]&lt;admissions[[#This Row],[admittime]], "ERROR: discharge before admit", "OK")</f>
        <v>OK</v>
      </c>
      <c r="L64" t="str">
        <f>_xlfn.XLOOKUP(admissions[[#This Row],[neuro_flag]], flag_lookup[flag_value], flag_lookup[flag_label])</f>
        <v>General ICU</v>
      </c>
    </row>
    <row r="65" spans="1:12" x14ac:dyDescent="0.2">
      <c r="A65">
        <v>156668</v>
      </c>
      <c r="B65">
        <v>10130</v>
      </c>
      <c r="C65" t="s">
        <v>10</v>
      </c>
      <c r="D65">
        <v>51</v>
      </c>
      <c r="E65" s="1">
        <v>95360.684722222228</v>
      </c>
      <c r="F65" s="1">
        <v>95380.586805555562</v>
      </c>
      <c r="G65">
        <v>0</v>
      </c>
      <c r="H65">
        <v>1.6444000000000001</v>
      </c>
      <c r="I65">
        <v>0</v>
      </c>
      <c r="J65" t="str">
        <f>IF(admissions[[#This Row],[age_at_admission]]&gt;100,"89+ (obscured)", "actual")</f>
        <v>actual</v>
      </c>
      <c r="K65" t="str">
        <f>IF(admissions[[#This Row],[dischtime]]&lt;admissions[[#This Row],[admittime]], "ERROR: discharge before admit", "OK")</f>
        <v>OK</v>
      </c>
      <c r="L65" t="str">
        <f>_xlfn.XLOOKUP(admissions[[#This Row],[neuro_flag]], flag_lookup[flag_value], flag_lookup[flag_label])</f>
        <v>General ICU</v>
      </c>
    </row>
    <row r="66" spans="1:12" x14ac:dyDescent="0.2">
      <c r="A66">
        <v>157235</v>
      </c>
      <c r="B66">
        <v>10033</v>
      </c>
      <c r="C66" t="s">
        <v>9</v>
      </c>
      <c r="D66">
        <v>81</v>
      </c>
      <c r="E66" s="1">
        <v>85077.115277777775</v>
      </c>
      <c r="F66" s="1">
        <v>85080.635416666672</v>
      </c>
      <c r="G66">
        <v>0</v>
      </c>
      <c r="H66">
        <v>1.0694999999999999</v>
      </c>
      <c r="I66">
        <v>0</v>
      </c>
      <c r="J66" t="str">
        <f>IF(admissions[[#This Row],[age_at_admission]]&gt;100,"89+ (obscured)", "actual")</f>
        <v>actual</v>
      </c>
      <c r="K66" t="str">
        <f>IF(admissions[[#This Row],[dischtime]]&lt;admissions[[#This Row],[admittime]], "ERROR: discharge before admit", "OK")</f>
        <v>OK</v>
      </c>
      <c r="L66" t="str">
        <f>_xlfn.XLOOKUP(admissions[[#This Row],[neuro_flag]], flag_lookup[flag_value], flag_lookup[flag_label])</f>
        <v>General ICU</v>
      </c>
    </row>
    <row r="67" spans="1:12" x14ac:dyDescent="0.2">
      <c r="A67">
        <v>157466</v>
      </c>
      <c r="B67">
        <v>10119</v>
      </c>
      <c r="C67" t="s">
        <v>10</v>
      </c>
      <c r="D67">
        <v>81</v>
      </c>
      <c r="E67" s="1">
        <v>79476.768750000003</v>
      </c>
      <c r="F67" s="1">
        <v>79490.677083333328</v>
      </c>
      <c r="G67">
        <v>0</v>
      </c>
      <c r="H67">
        <v>7.9020000000000001</v>
      </c>
      <c r="I67">
        <v>0</v>
      </c>
      <c r="J67" t="str">
        <f>IF(admissions[[#This Row],[age_at_admission]]&gt;100,"89+ (obscured)", "actual")</f>
        <v>actual</v>
      </c>
      <c r="K67" t="str">
        <f>IF(admissions[[#This Row],[dischtime]]&lt;admissions[[#This Row],[admittime]], "ERROR: discharge before admit", "OK")</f>
        <v>OK</v>
      </c>
      <c r="L67" t="str">
        <f>_xlfn.XLOOKUP(admissions[[#This Row],[neuro_flag]], flag_lookup[flag_value], flag_lookup[flag_label])</f>
        <v>General ICU</v>
      </c>
    </row>
    <row r="68" spans="1:12" x14ac:dyDescent="0.2">
      <c r="A68">
        <v>157609</v>
      </c>
      <c r="B68">
        <v>40310</v>
      </c>
      <c r="C68" t="s">
        <v>10</v>
      </c>
      <c r="D68">
        <v>41</v>
      </c>
      <c r="E68" s="1">
        <v>89479.677777777775</v>
      </c>
      <c r="F68" s="1">
        <v>89486.694444444438</v>
      </c>
      <c r="G68">
        <v>1</v>
      </c>
      <c r="H68">
        <v>7.1988000000000003</v>
      </c>
      <c r="I68">
        <v>0</v>
      </c>
      <c r="J68" t="str">
        <f>IF(admissions[[#This Row],[age_at_admission]]&gt;100,"89+ (obscured)", "actual")</f>
        <v>actual</v>
      </c>
      <c r="K68" t="str">
        <f>IF(admissions[[#This Row],[dischtime]]&lt;admissions[[#This Row],[admittime]], "ERROR: discharge before admit", "OK")</f>
        <v>OK</v>
      </c>
      <c r="L68" t="str">
        <f>_xlfn.XLOOKUP(admissions[[#This Row],[neuro_flag]], flag_lookup[flag_value], flag_lookup[flag_label])</f>
        <v>General ICU</v>
      </c>
    </row>
    <row r="69" spans="1:12" x14ac:dyDescent="0.2">
      <c r="A69">
        <v>157839</v>
      </c>
      <c r="B69">
        <v>10040</v>
      </c>
      <c r="C69" t="s">
        <v>9</v>
      </c>
      <c r="D69">
        <v>85</v>
      </c>
      <c r="E69" s="1">
        <v>90270.48819444445</v>
      </c>
      <c r="F69" s="1">
        <v>90274.679861111115</v>
      </c>
      <c r="G69">
        <v>0</v>
      </c>
      <c r="H69">
        <v>2.1305999999999998</v>
      </c>
      <c r="I69">
        <v>0</v>
      </c>
      <c r="J69" t="str">
        <f>IF(admissions[[#This Row],[age_at_admission]]&gt;100,"89+ (obscured)", "actual")</f>
        <v>actual</v>
      </c>
      <c r="K69" t="str">
        <f>IF(admissions[[#This Row],[dischtime]]&lt;admissions[[#This Row],[admittime]], "ERROR: discharge before admit", "OK")</f>
        <v>OK</v>
      </c>
      <c r="L69" t="str">
        <f>_xlfn.XLOOKUP(admissions[[#This Row],[neuro_flag]], flag_lookup[flag_value], flag_lookup[flag_label])</f>
        <v>General ICU</v>
      </c>
    </row>
    <row r="70" spans="1:12" x14ac:dyDescent="0.2">
      <c r="A70">
        <v>158100</v>
      </c>
      <c r="B70">
        <v>43879</v>
      </c>
      <c r="C70" t="s">
        <v>9</v>
      </c>
      <c r="D70">
        <v>55</v>
      </c>
      <c r="E70" s="1">
        <v>75483.654861111107</v>
      </c>
      <c r="F70" s="1">
        <v>75484.635416666672</v>
      </c>
      <c r="G70">
        <v>0</v>
      </c>
      <c r="H70">
        <v>0.97750000000000004</v>
      </c>
      <c r="I70">
        <v>0</v>
      </c>
      <c r="J70" t="str">
        <f>IF(admissions[[#This Row],[age_at_admission]]&gt;100,"89+ (obscured)", "actual")</f>
        <v>actual</v>
      </c>
      <c r="K70" t="str">
        <f>IF(admissions[[#This Row],[dischtime]]&lt;admissions[[#This Row],[admittime]], "ERROR: discharge before admit", "OK")</f>
        <v>OK</v>
      </c>
      <c r="L70" t="str">
        <f>_xlfn.XLOOKUP(admissions[[#This Row],[neuro_flag]], flag_lookup[flag_value], flag_lookup[flag_label])</f>
        <v>General ICU</v>
      </c>
    </row>
    <row r="71" spans="1:12" x14ac:dyDescent="0.2">
      <c r="A71">
        <v>159647</v>
      </c>
      <c r="B71">
        <v>42458</v>
      </c>
      <c r="C71" t="s">
        <v>10</v>
      </c>
      <c r="D71">
        <v>299</v>
      </c>
      <c r="E71" s="1">
        <v>90053.614583333328</v>
      </c>
      <c r="F71" s="1">
        <v>90054.614583333328</v>
      </c>
      <c r="G71">
        <v>0</v>
      </c>
      <c r="H71">
        <v>1.0082</v>
      </c>
      <c r="I71">
        <v>0</v>
      </c>
      <c r="J71" t="str">
        <f>IF(admissions[[#This Row],[age_at_admission]]&gt;100,"89+ (obscured)", "actual")</f>
        <v>89+ (obscured)</v>
      </c>
      <c r="K71" t="str">
        <f>IF(admissions[[#This Row],[dischtime]]&lt;admissions[[#This Row],[admittime]], "ERROR: discharge before admit", "OK")</f>
        <v>OK</v>
      </c>
      <c r="L71" t="str">
        <f>_xlfn.XLOOKUP(admissions[[#This Row],[neuro_flag]], flag_lookup[flag_value], flag_lookup[flag_label])</f>
        <v>General ICU</v>
      </c>
    </row>
    <row r="72" spans="1:12" x14ac:dyDescent="0.2">
      <c r="A72">
        <v>160442</v>
      </c>
      <c r="B72">
        <v>10067</v>
      </c>
      <c r="C72" t="s">
        <v>10</v>
      </c>
      <c r="D72">
        <v>29</v>
      </c>
      <c r="E72" s="1">
        <v>84286.065277777772</v>
      </c>
      <c r="F72" s="1">
        <v>84286.103472222225</v>
      </c>
      <c r="G72">
        <v>1</v>
      </c>
      <c r="H72">
        <v>0.10589999999999999</v>
      </c>
      <c r="I72">
        <v>0</v>
      </c>
      <c r="J72" t="str">
        <f>IF(admissions[[#This Row],[age_at_admission]]&gt;100,"89+ (obscured)", "actual")</f>
        <v>actual</v>
      </c>
      <c r="K72" t="str">
        <f>IF(admissions[[#This Row],[dischtime]]&lt;admissions[[#This Row],[admittime]], "ERROR: discharge before admit", "OK")</f>
        <v>OK</v>
      </c>
      <c r="L72" t="str">
        <f>_xlfn.XLOOKUP(admissions[[#This Row],[neuro_flag]], flag_lookup[flag_value], flag_lookup[flag_label])</f>
        <v>General ICU</v>
      </c>
    </row>
    <row r="73" spans="1:12" x14ac:dyDescent="0.2">
      <c r="A73">
        <v>160445</v>
      </c>
      <c r="B73">
        <v>10126</v>
      </c>
      <c r="C73" t="s">
        <v>9</v>
      </c>
      <c r="D73">
        <v>44</v>
      </c>
      <c r="E73" s="1">
        <v>99175.251388888893</v>
      </c>
      <c r="F73" s="1">
        <v>99210.5</v>
      </c>
      <c r="G73">
        <v>1</v>
      </c>
      <c r="H73">
        <v>35.406500000000001</v>
      </c>
      <c r="I73">
        <v>0</v>
      </c>
      <c r="J73" t="str">
        <f>IF(admissions[[#This Row],[age_at_admission]]&gt;100,"89+ (obscured)", "actual")</f>
        <v>actual</v>
      </c>
      <c r="K73" t="str">
        <f>IF(admissions[[#This Row],[dischtime]]&lt;admissions[[#This Row],[admittime]], "ERROR: discharge before admit", "OK")</f>
        <v>OK</v>
      </c>
      <c r="L73" t="str">
        <f>_xlfn.XLOOKUP(admissions[[#This Row],[neuro_flag]], flag_lookup[flag_value], flag_lookup[flag_label])</f>
        <v>General ICU</v>
      </c>
    </row>
    <row r="74" spans="1:12" x14ac:dyDescent="0.2">
      <c r="A74">
        <v>161765</v>
      </c>
      <c r="B74">
        <v>40456</v>
      </c>
      <c r="C74" t="s">
        <v>9</v>
      </c>
      <c r="D74">
        <v>87</v>
      </c>
      <c r="E74" s="1">
        <v>79903.684027777781</v>
      </c>
      <c r="F74" s="1">
        <v>79906.5625</v>
      </c>
      <c r="G74">
        <v>0</v>
      </c>
      <c r="H74">
        <v>2.0003000000000002</v>
      </c>
      <c r="I74">
        <v>0</v>
      </c>
      <c r="J74" t="str">
        <f>IF(admissions[[#This Row],[age_at_admission]]&gt;100,"89+ (obscured)", "actual")</f>
        <v>actual</v>
      </c>
      <c r="K74" t="str">
        <f>IF(admissions[[#This Row],[dischtime]]&lt;admissions[[#This Row],[admittime]], "ERROR: discharge before admit", "OK")</f>
        <v>OK</v>
      </c>
      <c r="L74" t="str">
        <f>_xlfn.XLOOKUP(admissions[[#This Row],[neuro_flag]], flag_lookup[flag_value], flag_lookup[flag_label])</f>
        <v>General ICU</v>
      </c>
    </row>
    <row r="75" spans="1:12" x14ac:dyDescent="0.2">
      <c r="A75">
        <v>163189</v>
      </c>
      <c r="B75">
        <v>44212</v>
      </c>
      <c r="C75" t="s">
        <v>9</v>
      </c>
      <c r="D75">
        <v>45</v>
      </c>
      <c r="E75" s="1">
        <v>81778.593055555553</v>
      </c>
      <c r="F75" s="1">
        <v>81814.604861111118</v>
      </c>
      <c r="G75">
        <v>0</v>
      </c>
      <c r="H75">
        <v>31.1235</v>
      </c>
      <c r="I75">
        <v>0</v>
      </c>
      <c r="J75" t="str">
        <f>IF(admissions[[#This Row],[age_at_admission]]&gt;100,"89+ (obscured)", "actual")</f>
        <v>actual</v>
      </c>
      <c r="K75" t="str">
        <f>IF(admissions[[#This Row],[dischtime]]&lt;admissions[[#This Row],[admittime]], "ERROR: discharge before admit", "OK")</f>
        <v>OK</v>
      </c>
      <c r="L75" t="str">
        <f>_xlfn.XLOOKUP(admissions[[#This Row],[neuro_flag]], flag_lookup[flag_value], flag_lookup[flag_label])</f>
        <v>General ICU</v>
      </c>
    </row>
    <row r="76" spans="1:12" x14ac:dyDescent="0.2">
      <c r="A76">
        <v>164869</v>
      </c>
      <c r="B76">
        <v>10102</v>
      </c>
      <c r="C76" t="s">
        <v>10</v>
      </c>
      <c r="D76">
        <v>70</v>
      </c>
      <c r="E76" s="1">
        <v>75025.762499999997</v>
      </c>
      <c r="F76" s="1">
        <v>75038.097222222219</v>
      </c>
      <c r="G76">
        <v>1</v>
      </c>
      <c r="H76">
        <v>2.452</v>
      </c>
      <c r="I76">
        <v>0</v>
      </c>
      <c r="J76" t="str">
        <f>IF(admissions[[#This Row],[age_at_admission]]&gt;100,"89+ (obscured)", "actual")</f>
        <v>actual</v>
      </c>
      <c r="K76" t="str">
        <f>IF(admissions[[#This Row],[dischtime]]&lt;admissions[[#This Row],[admittime]], "ERROR: discharge before admit", "OK")</f>
        <v>OK</v>
      </c>
      <c r="L76" t="str">
        <f>_xlfn.XLOOKUP(admissions[[#This Row],[neuro_flag]], flag_lookup[flag_value], flag_lookup[flag_label])</f>
        <v>General ICU</v>
      </c>
    </row>
    <row r="77" spans="1:12" x14ac:dyDescent="0.2">
      <c r="A77">
        <v>165393</v>
      </c>
      <c r="B77">
        <v>10093</v>
      </c>
      <c r="C77" t="s">
        <v>10</v>
      </c>
      <c r="D77">
        <v>87</v>
      </c>
      <c r="E77" s="1">
        <v>88050.357638888891</v>
      </c>
      <c r="F77" s="1">
        <v>88051.128472222219</v>
      </c>
      <c r="G77">
        <v>1</v>
      </c>
      <c r="H77">
        <v>0.90169999999999995</v>
      </c>
      <c r="I77">
        <v>0</v>
      </c>
      <c r="J77" t="str">
        <f>IF(admissions[[#This Row],[age_at_admission]]&gt;100,"89+ (obscured)", "actual")</f>
        <v>actual</v>
      </c>
      <c r="K77" t="str">
        <f>IF(admissions[[#This Row],[dischtime]]&lt;admissions[[#This Row],[admittime]], "ERROR: discharge before admit", "OK")</f>
        <v>OK</v>
      </c>
      <c r="L77" t="str">
        <f>_xlfn.XLOOKUP(admissions[[#This Row],[neuro_flag]], flag_lookup[flag_value], flag_lookup[flag_label])</f>
        <v>General ICU</v>
      </c>
    </row>
    <row r="78" spans="1:12" x14ac:dyDescent="0.2">
      <c r="A78">
        <v>165436</v>
      </c>
      <c r="B78">
        <v>10119</v>
      </c>
      <c r="C78" t="s">
        <v>10</v>
      </c>
      <c r="D78">
        <v>81</v>
      </c>
      <c r="E78" s="1">
        <v>79492.290277777778</v>
      </c>
      <c r="F78" s="1">
        <v>79497.541666666672</v>
      </c>
      <c r="G78">
        <v>0</v>
      </c>
      <c r="H78">
        <v>1.8919999999999999</v>
      </c>
      <c r="I78">
        <v>0</v>
      </c>
      <c r="J78" t="str">
        <f>IF(admissions[[#This Row],[age_at_admission]]&gt;100,"89+ (obscured)", "actual")</f>
        <v>actual</v>
      </c>
      <c r="K78" t="str">
        <f>IF(admissions[[#This Row],[dischtime]]&lt;admissions[[#This Row],[admittime]], "ERROR: discharge before admit", "OK")</f>
        <v>OK</v>
      </c>
      <c r="L78" t="str">
        <f>_xlfn.XLOOKUP(admissions[[#This Row],[neuro_flag]], flag_lookup[flag_value], flag_lookup[flag_label])</f>
        <v>General ICU</v>
      </c>
    </row>
    <row r="79" spans="1:12" x14ac:dyDescent="0.2">
      <c r="A79">
        <v>165520</v>
      </c>
      <c r="B79">
        <v>10013</v>
      </c>
      <c r="C79" t="s">
        <v>9</v>
      </c>
      <c r="D79">
        <v>87</v>
      </c>
      <c r="E79" s="1">
        <v>82458.983333333337</v>
      </c>
      <c r="F79" s="1">
        <v>82461.634027777778</v>
      </c>
      <c r="G79">
        <v>1</v>
      </c>
      <c r="H79">
        <v>2.6499000000000001</v>
      </c>
      <c r="I79">
        <v>0</v>
      </c>
      <c r="J79" t="str">
        <f>IF(admissions[[#This Row],[age_at_admission]]&gt;100,"89+ (obscured)", "actual")</f>
        <v>actual</v>
      </c>
      <c r="K79" t="str">
        <f>IF(admissions[[#This Row],[dischtime]]&lt;admissions[[#This Row],[admittime]], "ERROR: discharge before admit", "OK")</f>
        <v>OK</v>
      </c>
      <c r="L79" t="str">
        <f>_xlfn.XLOOKUP(admissions[[#This Row],[neuro_flag]], flag_lookup[flag_value], flag_lookup[flag_label])</f>
        <v>General ICU</v>
      </c>
    </row>
    <row r="80" spans="1:12" x14ac:dyDescent="0.2">
      <c r="A80">
        <v>167021</v>
      </c>
      <c r="B80">
        <v>43881</v>
      </c>
      <c r="C80" t="s">
        <v>10</v>
      </c>
      <c r="D80">
        <v>53</v>
      </c>
      <c r="E80" s="1">
        <v>74808.405555555553</v>
      </c>
      <c r="F80" s="1">
        <v>74816.499305555553</v>
      </c>
      <c r="G80">
        <v>0</v>
      </c>
      <c r="H80">
        <v>1.2762</v>
      </c>
      <c r="I80">
        <v>0</v>
      </c>
      <c r="J80" t="str">
        <f>IF(admissions[[#This Row],[age_at_admission]]&gt;100,"89+ (obscured)", "actual")</f>
        <v>actual</v>
      </c>
      <c r="K80" t="str">
        <f>IF(admissions[[#This Row],[dischtime]]&lt;admissions[[#This Row],[admittime]], "ERROR: discharge before admit", "OK")</f>
        <v>OK</v>
      </c>
      <c r="L80" t="str">
        <f>_xlfn.XLOOKUP(admissions[[#This Row],[neuro_flag]], flag_lookup[flag_value], flag_lookup[flag_label])</f>
        <v>General ICU</v>
      </c>
    </row>
    <row r="81" spans="1:12" x14ac:dyDescent="0.2">
      <c r="A81">
        <v>167181</v>
      </c>
      <c r="B81">
        <v>43746</v>
      </c>
      <c r="C81" t="s">
        <v>9</v>
      </c>
      <c r="D81">
        <v>81</v>
      </c>
      <c r="E81" s="1">
        <v>77065.75208333334</v>
      </c>
      <c r="F81" s="1">
        <v>77081.638194444444</v>
      </c>
      <c r="G81">
        <v>1</v>
      </c>
      <c r="H81">
        <v>4.0860000000000003</v>
      </c>
      <c r="I81">
        <v>0</v>
      </c>
      <c r="J81" t="str">
        <f>IF(admissions[[#This Row],[age_at_admission]]&gt;100,"89+ (obscured)", "actual")</f>
        <v>actual</v>
      </c>
      <c r="K81" t="str">
        <f>IF(admissions[[#This Row],[dischtime]]&lt;admissions[[#This Row],[admittime]], "ERROR: discharge before admit", "OK")</f>
        <v>OK</v>
      </c>
      <c r="L81" t="str">
        <f>_xlfn.XLOOKUP(admissions[[#This Row],[neuro_flag]], flag_lookup[flag_value], flag_lookup[flag_label])</f>
        <v>General ICU</v>
      </c>
    </row>
    <row r="82" spans="1:12" x14ac:dyDescent="0.2">
      <c r="A82">
        <v>167612</v>
      </c>
      <c r="B82">
        <v>43909</v>
      </c>
      <c r="C82" t="s">
        <v>9</v>
      </c>
      <c r="D82">
        <v>78</v>
      </c>
      <c r="E82" s="1">
        <v>92325.795138888891</v>
      </c>
      <c r="F82" s="1">
        <v>92325.93958333334</v>
      </c>
      <c r="G82">
        <v>1</v>
      </c>
      <c r="H82">
        <v>0.19040000000000001</v>
      </c>
      <c r="I82">
        <v>0</v>
      </c>
      <c r="J82" t="str">
        <f>IF(admissions[[#This Row],[age_at_admission]]&gt;100,"89+ (obscured)", "actual")</f>
        <v>actual</v>
      </c>
      <c r="K82" t="str">
        <f>IF(admissions[[#This Row],[dischtime]]&lt;admissions[[#This Row],[admittime]], "ERROR: discharge before admit", "OK")</f>
        <v>OK</v>
      </c>
      <c r="L82" t="str">
        <f>_xlfn.XLOOKUP(admissions[[#This Row],[neuro_flag]], flag_lookup[flag_value], flag_lookup[flag_label])</f>
        <v>General ICU</v>
      </c>
    </row>
    <row r="83" spans="1:12" x14ac:dyDescent="0.2">
      <c r="A83">
        <v>167754</v>
      </c>
      <c r="B83">
        <v>42302</v>
      </c>
      <c r="C83" t="s">
        <v>9</v>
      </c>
      <c r="D83">
        <v>85</v>
      </c>
      <c r="E83" s="1">
        <v>95089.590277777781</v>
      </c>
      <c r="F83" s="1">
        <v>95093.496527777781</v>
      </c>
      <c r="G83">
        <v>0</v>
      </c>
      <c r="H83">
        <v>0.99109999999999998</v>
      </c>
      <c r="I83">
        <v>1</v>
      </c>
      <c r="J83" t="str">
        <f>IF(admissions[[#This Row],[age_at_admission]]&gt;100,"89+ (obscured)", "actual")</f>
        <v>actual</v>
      </c>
      <c r="K83" t="str">
        <f>IF(admissions[[#This Row],[dischtime]]&lt;admissions[[#This Row],[admittime]], "ERROR: discharge before admit", "OK")</f>
        <v>OK</v>
      </c>
      <c r="L83" t="str">
        <f>_xlfn.XLOOKUP(admissions[[#This Row],[neuro_flag]], flag_lookup[flag_value], flag_lookup[flag_label])</f>
        <v>Neuro Cohort</v>
      </c>
    </row>
    <row r="84" spans="1:12" x14ac:dyDescent="0.2">
      <c r="A84">
        <v>167957</v>
      </c>
      <c r="B84">
        <v>10114</v>
      </c>
      <c r="C84" t="s">
        <v>9</v>
      </c>
      <c r="D84">
        <v>72</v>
      </c>
      <c r="E84" s="1">
        <v>99285.793749999997</v>
      </c>
      <c r="F84" s="1">
        <v>99292.624305555553</v>
      </c>
      <c r="G84">
        <v>0</v>
      </c>
      <c r="H84">
        <v>4.7332999999999998</v>
      </c>
      <c r="I84">
        <v>0</v>
      </c>
      <c r="J84" t="str">
        <f>IF(admissions[[#This Row],[age_at_admission]]&gt;100,"89+ (obscured)", "actual")</f>
        <v>actual</v>
      </c>
      <c r="K84" t="str">
        <f>IF(admissions[[#This Row],[dischtime]]&lt;admissions[[#This Row],[admittime]], "ERROR: discharge before admit", "OK")</f>
        <v>OK</v>
      </c>
      <c r="L84" t="str">
        <f>_xlfn.XLOOKUP(admissions[[#This Row],[neuro_flag]], flag_lookup[flag_value], flag_lookup[flag_label])</f>
        <v>General ICU</v>
      </c>
    </row>
    <row r="85" spans="1:12" x14ac:dyDescent="0.2">
      <c r="A85">
        <v>168074</v>
      </c>
      <c r="B85">
        <v>10094</v>
      </c>
      <c r="C85" t="s">
        <v>10</v>
      </c>
      <c r="D85">
        <v>299</v>
      </c>
      <c r="E85" s="1">
        <v>102329.78750000001</v>
      </c>
      <c r="F85" s="1">
        <v>102339.73263888889</v>
      </c>
      <c r="G85">
        <v>0</v>
      </c>
      <c r="H85">
        <v>4.1013999999999999</v>
      </c>
      <c r="I85">
        <v>0</v>
      </c>
      <c r="J85" t="str">
        <f>IF(admissions[[#This Row],[age_at_admission]]&gt;100,"89+ (obscured)", "actual")</f>
        <v>89+ (obscured)</v>
      </c>
      <c r="K85" t="str">
        <f>IF(admissions[[#This Row],[dischtime]]&lt;admissions[[#This Row],[admittime]], "ERROR: discharge before admit", "OK")</f>
        <v>OK</v>
      </c>
      <c r="L85" t="str">
        <f>_xlfn.XLOOKUP(admissions[[#This Row],[neuro_flag]], flag_lookup[flag_value], flag_lookup[flag_label])</f>
        <v>General ICU</v>
      </c>
    </row>
    <row r="86" spans="1:12" x14ac:dyDescent="0.2">
      <c r="A86">
        <v>168233</v>
      </c>
      <c r="B86">
        <v>10088</v>
      </c>
      <c r="C86" t="s">
        <v>10</v>
      </c>
      <c r="D86">
        <v>77</v>
      </c>
      <c r="E86" s="1">
        <v>75635.166666666672</v>
      </c>
      <c r="F86" s="1">
        <v>75647.5</v>
      </c>
      <c r="G86">
        <v>0</v>
      </c>
      <c r="H86">
        <v>1.6226</v>
      </c>
      <c r="I86">
        <v>1</v>
      </c>
      <c r="J86" t="str">
        <f>IF(admissions[[#This Row],[age_at_admission]]&gt;100,"89+ (obscured)", "actual")</f>
        <v>actual</v>
      </c>
      <c r="K86" t="str">
        <f>IF(admissions[[#This Row],[dischtime]]&lt;admissions[[#This Row],[admittime]], "ERROR: discharge before admit", "OK")</f>
        <v>OK</v>
      </c>
      <c r="L86" t="str">
        <f>_xlfn.XLOOKUP(admissions[[#This Row],[neuro_flag]], flag_lookup[flag_value], flag_lookup[flag_label])</f>
        <v>Neuro Cohort</v>
      </c>
    </row>
    <row r="87" spans="1:12" x14ac:dyDescent="0.2">
      <c r="A87">
        <v>168674</v>
      </c>
      <c r="B87">
        <v>10043</v>
      </c>
      <c r="C87" t="s">
        <v>10</v>
      </c>
      <c r="D87">
        <v>76</v>
      </c>
      <c r="E87" s="1">
        <v>104200.01597222222</v>
      </c>
      <c r="F87" s="1">
        <v>104212.76388888889</v>
      </c>
      <c r="G87">
        <v>0</v>
      </c>
      <c r="H87">
        <v>2.0141</v>
      </c>
      <c r="I87">
        <v>0</v>
      </c>
      <c r="J87" t="str">
        <f>IF(admissions[[#This Row],[age_at_admission]]&gt;100,"89+ (obscured)", "actual")</f>
        <v>actual</v>
      </c>
      <c r="K87" t="str">
        <f>IF(admissions[[#This Row],[dischtime]]&lt;admissions[[#This Row],[admittime]], "ERROR: discharge before admit", "OK")</f>
        <v>OK</v>
      </c>
      <c r="L87" t="str">
        <f>_xlfn.XLOOKUP(admissions[[#This Row],[neuro_flag]], flag_lookup[flag_value], flag_lookup[flag_label])</f>
        <v>General ICU</v>
      </c>
    </row>
    <row r="88" spans="1:12" x14ac:dyDescent="0.2">
      <c r="A88">
        <v>168803</v>
      </c>
      <c r="B88">
        <v>40503</v>
      </c>
      <c r="C88" t="s">
        <v>9</v>
      </c>
      <c r="D88">
        <v>88</v>
      </c>
      <c r="E88" s="1">
        <v>104648.83263888888</v>
      </c>
      <c r="F88" s="1">
        <v>104649.79166666667</v>
      </c>
      <c r="G88">
        <v>1</v>
      </c>
      <c r="H88">
        <v>1.0337000000000001</v>
      </c>
      <c r="I88">
        <v>0</v>
      </c>
      <c r="J88" t="str">
        <f>IF(admissions[[#This Row],[age_at_admission]]&gt;100,"89+ (obscured)", "actual")</f>
        <v>actual</v>
      </c>
      <c r="K88" t="str">
        <f>IF(admissions[[#This Row],[dischtime]]&lt;admissions[[#This Row],[admittime]], "ERROR: discharge before admit", "OK")</f>
        <v>OK</v>
      </c>
      <c r="L88" t="str">
        <f>_xlfn.XLOOKUP(admissions[[#This Row],[neuro_flag]], flag_lookup[flag_value], flag_lookup[flag_label])</f>
        <v>General ICU</v>
      </c>
    </row>
    <row r="89" spans="1:12" x14ac:dyDescent="0.2">
      <c r="A89">
        <v>169938</v>
      </c>
      <c r="B89">
        <v>10088</v>
      </c>
      <c r="C89" t="s">
        <v>10</v>
      </c>
      <c r="D89">
        <v>77</v>
      </c>
      <c r="E89" s="1">
        <v>75610.499305555553</v>
      </c>
      <c r="F89" s="1">
        <v>75617.65625</v>
      </c>
      <c r="G89">
        <v>0</v>
      </c>
      <c r="H89">
        <v>3.6884999999999999</v>
      </c>
      <c r="I89">
        <v>0</v>
      </c>
      <c r="J89" t="str">
        <f>IF(admissions[[#This Row],[age_at_admission]]&gt;100,"89+ (obscured)", "actual")</f>
        <v>actual</v>
      </c>
      <c r="K89" t="str">
        <f>IF(admissions[[#This Row],[dischtime]]&lt;admissions[[#This Row],[admittime]], "ERROR: discharge before admit", "OK")</f>
        <v>OK</v>
      </c>
      <c r="L89" t="str">
        <f>_xlfn.XLOOKUP(admissions[[#This Row],[neuro_flag]], flag_lookup[flag_value], flag_lookup[flag_label])</f>
        <v>General ICU</v>
      </c>
    </row>
    <row r="90" spans="1:12" x14ac:dyDescent="0.2">
      <c r="A90">
        <v>170119</v>
      </c>
      <c r="B90">
        <v>10074</v>
      </c>
      <c r="C90" t="s">
        <v>10</v>
      </c>
      <c r="D90">
        <v>85</v>
      </c>
      <c r="E90" s="1">
        <v>97563.923611111109</v>
      </c>
      <c r="F90" s="1">
        <v>97571.645833333328</v>
      </c>
      <c r="G90">
        <v>0</v>
      </c>
      <c r="H90">
        <v>0.65490000000000004</v>
      </c>
      <c r="I90">
        <v>0</v>
      </c>
      <c r="J90" t="str">
        <f>IF(admissions[[#This Row],[age_at_admission]]&gt;100,"89+ (obscured)", "actual")</f>
        <v>actual</v>
      </c>
      <c r="K90" t="str">
        <f>IF(admissions[[#This Row],[dischtime]]&lt;admissions[[#This Row],[admittime]], "ERROR: discharge before admit", "OK")</f>
        <v>OK</v>
      </c>
      <c r="L90" t="str">
        <f>_xlfn.XLOOKUP(admissions[[#This Row],[neuro_flag]], flag_lookup[flag_value], flag_lookup[flag_label])</f>
        <v>General ICU</v>
      </c>
    </row>
    <row r="91" spans="1:12" x14ac:dyDescent="0.2">
      <c r="A91">
        <v>170883</v>
      </c>
      <c r="B91">
        <v>10124</v>
      </c>
      <c r="C91" t="s">
        <v>9</v>
      </c>
      <c r="D91">
        <v>83</v>
      </c>
      <c r="E91" s="1">
        <v>106759.87291666666</v>
      </c>
      <c r="F91" s="1">
        <v>106788.81111111111</v>
      </c>
      <c r="G91">
        <v>1</v>
      </c>
      <c r="H91">
        <v>21.7545</v>
      </c>
      <c r="I91">
        <v>0</v>
      </c>
      <c r="J91" t="str">
        <f>IF(admissions[[#This Row],[age_at_admission]]&gt;100,"89+ (obscured)", "actual")</f>
        <v>actual</v>
      </c>
      <c r="K91" t="str">
        <f>IF(admissions[[#This Row],[dischtime]]&lt;admissions[[#This Row],[admittime]], "ERROR: discharge before admit", "OK")</f>
        <v>OK</v>
      </c>
      <c r="L91" t="str">
        <f>_xlfn.XLOOKUP(admissions[[#This Row],[neuro_flag]], flag_lookup[flag_value], flag_lookup[flag_label])</f>
        <v>General ICU</v>
      </c>
    </row>
    <row r="92" spans="1:12" x14ac:dyDescent="0.2">
      <c r="A92">
        <v>171628</v>
      </c>
      <c r="B92">
        <v>42066</v>
      </c>
      <c r="C92" t="s">
        <v>10</v>
      </c>
      <c r="D92">
        <v>50</v>
      </c>
      <c r="E92" s="1">
        <v>77467.617361111115</v>
      </c>
      <c r="F92" s="1">
        <v>77474.5</v>
      </c>
      <c r="G92">
        <v>1</v>
      </c>
      <c r="H92">
        <v>5.0956000000000001</v>
      </c>
      <c r="I92">
        <v>1</v>
      </c>
      <c r="J92" t="str">
        <f>IF(admissions[[#This Row],[age_at_admission]]&gt;100,"89+ (obscured)", "actual")</f>
        <v>actual</v>
      </c>
      <c r="K92" t="str">
        <f>IF(admissions[[#This Row],[dischtime]]&lt;admissions[[#This Row],[admittime]], "ERROR: discharge before admit", "OK")</f>
        <v>OK</v>
      </c>
      <c r="L92" t="str">
        <f>_xlfn.XLOOKUP(admissions[[#This Row],[neuro_flag]], flag_lookup[flag_value], flag_lookup[flag_label])</f>
        <v>Neuro Cohort</v>
      </c>
    </row>
    <row r="93" spans="1:12" x14ac:dyDescent="0.2">
      <c r="A93">
        <v>171878</v>
      </c>
      <c r="B93">
        <v>42231</v>
      </c>
      <c r="C93" t="s">
        <v>9</v>
      </c>
      <c r="D93">
        <v>85</v>
      </c>
      <c r="E93" s="1">
        <v>74021.302083333328</v>
      </c>
      <c r="F93" s="1">
        <v>74029.680555555562</v>
      </c>
      <c r="G93">
        <v>0</v>
      </c>
      <c r="H93">
        <v>1.1357999999999999</v>
      </c>
      <c r="I93">
        <v>0</v>
      </c>
      <c r="J93" t="str">
        <f>IF(admissions[[#This Row],[age_at_admission]]&gt;100,"89+ (obscured)", "actual")</f>
        <v>actual</v>
      </c>
      <c r="K93" t="str">
        <f>IF(admissions[[#This Row],[dischtime]]&lt;admissions[[#This Row],[admittime]], "ERROR: discharge before admit", "OK")</f>
        <v>OK</v>
      </c>
      <c r="L93" t="str">
        <f>_xlfn.XLOOKUP(admissions[[#This Row],[neuro_flag]], flag_lookup[flag_value], flag_lookup[flag_label])</f>
        <v>General ICU</v>
      </c>
    </row>
    <row r="94" spans="1:12" x14ac:dyDescent="0.2">
      <c r="A94">
        <v>172082</v>
      </c>
      <c r="B94">
        <v>41976</v>
      </c>
      <c r="C94" t="s">
        <v>10</v>
      </c>
      <c r="D94">
        <v>63</v>
      </c>
      <c r="E94" s="1">
        <v>109650.85555555555</v>
      </c>
      <c r="F94" s="1">
        <v>109661.70833333333</v>
      </c>
      <c r="G94">
        <v>0</v>
      </c>
      <c r="H94">
        <v>10.862500000000001</v>
      </c>
      <c r="I94">
        <v>0</v>
      </c>
      <c r="J94" t="str">
        <f>IF(admissions[[#This Row],[age_at_admission]]&gt;100,"89+ (obscured)", "actual")</f>
        <v>actual</v>
      </c>
      <c r="K94" t="str">
        <f>IF(admissions[[#This Row],[dischtime]]&lt;admissions[[#This Row],[admittime]], "ERROR: discharge before admit", "OK")</f>
        <v>OK</v>
      </c>
      <c r="L94" t="str">
        <f>_xlfn.XLOOKUP(admissions[[#This Row],[neuro_flag]], flag_lookup[flag_value], flag_lookup[flag_label])</f>
        <v>General ICU</v>
      </c>
    </row>
    <row r="95" spans="1:12" x14ac:dyDescent="0.2">
      <c r="A95">
        <v>172454</v>
      </c>
      <c r="B95">
        <v>43881</v>
      </c>
      <c r="C95" t="s">
        <v>10</v>
      </c>
      <c r="D95">
        <v>53</v>
      </c>
      <c r="E95" s="1">
        <v>74778.729861111118</v>
      </c>
      <c r="F95" s="1">
        <v>74784.678472222222</v>
      </c>
      <c r="G95">
        <v>0</v>
      </c>
      <c r="H95">
        <v>1.9252</v>
      </c>
      <c r="I95">
        <v>0</v>
      </c>
      <c r="J95" t="str">
        <f>IF(admissions[[#This Row],[age_at_admission]]&gt;100,"89+ (obscured)", "actual")</f>
        <v>actual</v>
      </c>
      <c r="K95" t="str">
        <f>IF(admissions[[#This Row],[dischtime]]&lt;admissions[[#This Row],[admittime]], "ERROR: discharge before admit", "OK")</f>
        <v>OK</v>
      </c>
      <c r="L95" t="str">
        <f>_xlfn.XLOOKUP(admissions[[#This Row],[neuro_flag]], flag_lookup[flag_value], flag_lookup[flag_label])</f>
        <v>General ICU</v>
      </c>
    </row>
    <row r="96" spans="1:12" x14ac:dyDescent="0.2">
      <c r="A96">
        <v>173269</v>
      </c>
      <c r="B96">
        <v>41976</v>
      </c>
      <c r="C96" t="s">
        <v>10</v>
      </c>
      <c r="D96">
        <v>62</v>
      </c>
      <c r="E96" s="1">
        <v>109222.71736111111</v>
      </c>
      <c r="F96" s="1">
        <v>109225.64097222222</v>
      </c>
      <c r="G96">
        <v>0</v>
      </c>
      <c r="H96">
        <v>2.9405999999999999</v>
      </c>
      <c r="I96">
        <v>0</v>
      </c>
      <c r="J96" t="str">
        <f>IF(admissions[[#This Row],[age_at_admission]]&gt;100,"89+ (obscured)", "actual")</f>
        <v>actual</v>
      </c>
      <c r="K96" t="str">
        <f>IF(admissions[[#This Row],[dischtime]]&lt;admissions[[#This Row],[admittime]], "ERROR: discharge before admit", "OK")</f>
        <v>OK</v>
      </c>
      <c r="L96" t="str">
        <f>_xlfn.XLOOKUP(admissions[[#This Row],[neuro_flag]], flag_lookup[flag_value], flag_lookup[flag_label])</f>
        <v>General ICU</v>
      </c>
    </row>
    <row r="97" spans="1:12" x14ac:dyDescent="0.2">
      <c r="A97">
        <v>174245</v>
      </c>
      <c r="B97">
        <v>44154</v>
      </c>
      <c r="C97" t="s">
        <v>10</v>
      </c>
      <c r="D97">
        <v>299</v>
      </c>
      <c r="E97" s="1">
        <v>101673.85347222222</v>
      </c>
      <c r="F97" s="1">
        <v>101674.40625</v>
      </c>
      <c r="G97">
        <v>1</v>
      </c>
      <c r="H97">
        <v>0.62590000000000001</v>
      </c>
      <c r="I97">
        <v>0</v>
      </c>
      <c r="J97" t="str">
        <f>IF(admissions[[#This Row],[age_at_admission]]&gt;100,"89+ (obscured)", "actual")</f>
        <v>89+ (obscured)</v>
      </c>
      <c r="K97" t="str">
        <f>IF(admissions[[#This Row],[dischtime]]&lt;admissions[[#This Row],[admittime]], "ERROR: discharge before admit", "OK")</f>
        <v>OK</v>
      </c>
      <c r="L97" t="str">
        <f>_xlfn.XLOOKUP(admissions[[#This Row],[neuro_flag]], flag_lookup[flag_value], flag_lookup[flag_label])</f>
        <v>General ICU</v>
      </c>
    </row>
    <row r="98" spans="1:12" x14ac:dyDescent="0.2">
      <c r="A98">
        <v>174739</v>
      </c>
      <c r="B98">
        <v>10111</v>
      </c>
      <c r="C98" t="s">
        <v>9</v>
      </c>
      <c r="D98">
        <v>82</v>
      </c>
      <c r="E98" s="1">
        <v>102283.77916666666</v>
      </c>
      <c r="F98" s="1">
        <v>102301.72013888889</v>
      </c>
      <c r="G98">
        <v>1</v>
      </c>
      <c r="H98">
        <v>11.071400000000001</v>
      </c>
      <c r="I98">
        <v>0</v>
      </c>
      <c r="J98" t="str">
        <f>IF(admissions[[#This Row],[age_at_admission]]&gt;100,"89+ (obscured)", "actual")</f>
        <v>actual</v>
      </c>
      <c r="K98" t="str">
        <f>IF(admissions[[#This Row],[dischtime]]&lt;admissions[[#This Row],[admittime]], "ERROR: discharge before admit", "OK")</f>
        <v>OK</v>
      </c>
      <c r="L98" t="str">
        <f>_xlfn.XLOOKUP(admissions[[#This Row],[neuro_flag]], flag_lookup[flag_value], flag_lookup[flag_label])</f>
        <v>General ICU</v>
      </c>
    </row>
    <row r="99" spans="1:12" x14ac:dyDescent="0.2">
      <c r="A99">
        <v>174863</v>
      </c>
      <c r="B99">
        <v>41976</v>
      </c>
      <c r="C99" t="s">
        <v>10</v>
      </c>
      <c r="D99">
        <v>65</v>
      </c>
      <c r="E99" s="1">
        <v>110161.95833333333</v>
      </c>
      <c r="F99" s="1">
        <v>110164.70486111111</v>
      </c>
      <c r="G99">
        <v>0</v>
      </c>
      <c r="H99">
        <v>0.75990000000000002</v>
      </c>
      <c r="I99">
        <v>0</v>
      </c>
      <c r="J99" t="str">
        <f>IF(admissions[[#This Row],[age_at_admission]]&gt;100,"89+ (obscured)", "actual")</f>
        <v>actual</v>
      </c>
      <c r="K99" t="str">
        <f>IF(admissions[[#This Row],[dischtime]]&lt;admissions[[#This Row],[admittime]], "ERROR: discharge before admit", "OK")</f>
        <v>OK</v>
      </c>
      <c r="L99" t="str">
        <f>_xlfn.XLOOKUP(admissions[[#This Row],[neuro_flag]], flag_lookup[flag_value], flag_lookup[flag_label])</f>
        <v>General ICU</v>
      </c>
    </row>
    <row r="100" spans="1:12" x14ac:dyDescent="0.2">
      <c r="A100">
        <v>174997</v>
      </c>
      <c r="B100">
        <v>40304</v>
      </c>
      <c r="C100" t="s">
        <v>10</v>
      </c>
      <c r="D100">
        <v>76</v>
      </c>
      <c r="E100" s="1">
        <v>96385.773611111115</v>
      </c>
      <c r="F100" s="1">
        <v>96395.458333333328</v>
      </c>
      <c r="G100">
        <v>0</v>
      </c>
      <c r="H100">
        <v>2.2993999999999999</v>
      </c>
      <c r="I100">
        <v>0</v>
      </c>
      <c r="J100" t="str">
        <f>IF(admissions[[#This Row],[age_at_admission]]&gt;100,"89+ (obscured)", "actual")</f>
        <v>actual</v>
      </c>
      <c r="K100" t="str">
        <f>IF(admissions[[#This Row],[dischtime]]&lt;admissions[[#This Row],[admittime]], "ERROR: discharge before admit", "OK")</f>
        <v>OK</v>
      </c>
      <c r="L100" t="str">
        <f>_xlfn.XLOOKUP(admissions[[#This Row],[neuro_flag]], flag_lookup[flag_value], flag_lookup[flag_label])</f>
        <v>General ICU</v>
      </c>
    </row>
    <row r="101" spans="1:12" x14ac:dyDescent="0.2">
      <c r="A101">
        <v>175237</v>
      </c>
      <c r="B101">
        <v>40204</v>
      </c>
      <c r="C101" t="s">
        <v>10</v>
      </c>
      <c r="D101">
        <v>76</v>
      </c>
      <c r="E101" s="1">
        <v>93488.680555555562</v>
      </c>
      <c r="F101" s="1">
        <v>93496.610416666663</v>
      </c>
      <c r="G101">
        <v>0</v>
      </c>
      <c r="H101">
        <v>0.85919999999999996</v>
      </c>
      <c r="I101">
        <v>0</v>
      </c>
      <c r="J101" t="str">
        <f>IF(admissions[[#This Row],[age_at_admission]]&gt;100,"89+ (obscured)", "actual")</f>
        <v>actual</v>
      </c>
      <c r="K101" t="str">
        <f>IF(admissions[[#This Row],[dischtime]]&lt;admissions[[#This Row],[admittime]], "ERROR: discharge before admit", "OK")</f>
        <v>OK</v>
      </c>
      <c r="L101" t="str">
        <f>_xlfn.XLOOKUP(admissions[[#This Row],[neuro_flag]], flag_lookup[flag_value], flag_lookup[flag_label])</f>
        <v>General ICU</v>
      </c>
    </row>
    <row r="102" spans="1:12" x14ac:dyDescent="0.2">
      <c r="A102">
        <v>175880</v>
      </c>
      <c r="B102">
        <v>42346</v>
      </c>
      <c r="C102" t="s">
        <v>9</v>
      </c>
      <c r="D102">
        <v>88</v>
      </c>
      <c r="E102" s="1">
        <v>95325.489583333328</v>
      </c>
      <c r="F102" s="1">
        <v>95326.322916666672</v>
      </c>
      <c r="G102">
        <v>1</v>
      </c>
      <c r="H102">
        <v>0.53500000000000003</v>
      </c>
      <c r="I102">
        <v>0</v>
      </c>
      <c r="J102" t="str">
        <f>IF(admissions[[#This Row],[age_at_admission]]&gt;100,"89+ (obscured)", "actual")</f>
        <v>actual</v>
      </c>
      <c r="K102" t="str">
        <f>IF(admissions[[#This Row],[dischtime]]&lt;admissions[[#This Row],[admittime]], "ERROR: discharge before admit", "OK")</f>
        <v>OK</v>
      </c>
      <c r="L102" t="str">
        <f>_xlfn.XLOOKUP(admissions[[#This Row],[neuro_flag]], flag_lookup[flag_value], flag_lookup[flag_label])</f>
        <v>General ICU</v>
      </c>
    </row>
    <row r="103" spans="1:12" x14ac:dyDescent="0.2">
      <c r="A103">
        <v>176016</v>
      </c>
      <c r="B103">
        <v>41976</v>
      </c>
      <c r="C103" t="s">
        <v>10</v>
      </c>
      <c r="D103">
        <v>62</v>
      </c>
      <c r="E103" s="1">
        <v>109240.93472222223</v>
      </c>
      <c r="F103" s="1">
        <v>109254.55694444444</v>
      </c>
      <c r="G103">
        <v>0</v>
      </c>
      <c r="H103">
        <v>10.776400000000001</v>
      </c>
      <c r="I103">
        <v>0</v>
      </c>
      <c r="J103" t="str">
        <f>IF(admissions[[#This Row],[age_at_admission]]&gt;100,"89+ (obscured)", "actual")</f>
        <v>actual</v>
      </c>
      <c r="K103" t="str">
        <f>IF(admissions[[#This Row],[dischtime]]&lt;admissions[[#This Row],[admittime]], "ERROR: discharge before admit", "OK")</f>
        <v>OK</v>
      </c>
      <c r="L103" t="str">
        <f>_xlfn.XLOOKUP(admissions[[#This Row],[neuro_flag]], flag_lookup[flag_value], flag_lookup[flag_label])</f>
        <v>General ICU</v>
      </c>
    </row>
    <row r="104" spans="1:12" x14ac:dyDescent="0.2">
      <c r="A104">
        <v>176805</v>
      </c>
      <c r="B104">
        <v>10090</v>
      </c>
      <c r="C104" t="s">
        <v>10</v>
      </c>
      <c r="D104">
        <v>27</v>
      </c>
      <c r="E104" s="1">
        <v>81827.601388888885</v>
      </c>
      <c r="F104" s="1">
        <v>81829.791666666672</v>
      </c>
      <c r="G104">
        <v>0</v>
      </c>
      <c r="H104">
        <v>1.1409</v>
      </c>
      <c r="I104">
        <v>0</v>
      </c>
      <c r="J104" t="str">
        <f>IF(admissions[[#This Row],[age_at_admission]]&gt;100,"89+ (obscured)", "actual")</f>
        <v>actual</v>
      </c>
      <c r="K104" t="str">
        <f>IF(admissions[[#This Row],[dischtime]]&lt;admissions[[#This Row],[admittime]], "ERROR: discharge before admit", "OK")</f>
        <v>OK</v>
      </c>
      <c r="L104" t="str">
        <f>_xlfn.XLOOKUP(admissions[[#This Row],[neuro_flag]], flag_lookup[flag_value], flag_lookup[flag_label])</f>
        <v>General ICU</v>
      </c>
    </row>
    <row r="105" spans="1:12" x14ac:dyDescent="0.2">
      <c r="A105">
        <v>177678</v>
      </c>
      <c r="B105">
        <v>10104</v>
      </c>
      <c r="C105" t="s">
        <v>9</v>
      </c>
      <c r="D105">
        <v>70</v>
      </c>
      <c r="E105" s="1">
        <v>80591.735416666663</v>
      </c>
      <c r="F105" s="1">
        <v>80598.55</v>
      </c>
      <c r="G105">
        <v>0</v>
      </c>
      <c r="H105">
        <v>0.66279999999999994</v>
      </c>
      <c r="I105">
        <v>0</v>
      </c>
      <c r="J105" t="str">
        <f>IF(admissions[[#This Row],[age_at_admission]]&gt;100,"89+ (obscured)", "actual")</f>
        <v>actual</v>
      </c>
      <c r="K105" t="str">
        <f>IF(admissions[[#This Row],[dischtime]]&lt;admissions[[#This Row],[admittime]], "ERROR: discharge before admit", "OK")</f>
        <v>OK</v>
      </c>
      <c r="L105" t="str">
        <f>_xlfn.XLOOKUP(admissions[[#This Row],[neuro_flag]], flag_lookup[flag_value], flag_lookup[flag_label])</f>
        <v>General ICU</v>
      </c>
    </row>
    <row r="106" spans="1:12" x14ac:dyDescent="0.2">
      <c r="A106">
        <v>177759</v>
      </c>
      <c r="B106">
        <v>10019</v>
      </c>
      <c r="C106" t="s">
        <v>10</v>
      </c>
      <c r="D106">
        <v>48</v>
      </c>
      <c r="E106" s="1">
        <v>96194.86319444445</v>
      </c>
      <c r="F106" s="1">
        <v>96195.5</v>
      </c>
      <c r="G106">
        <v>1</v>
      </c>
      <c r="H106">
        <v>1.2938000000000001</v>
      </c>
      <c r="I106">
        <v>0</v>
      </c>
      <c r="J106" t="str">
        <f>IF(admissions[[#This Row],[age_at_admission]]&gt;100,"89+ (obscured)", "actual")</f>
        <v>actual</v>
      </c>
      <c r="K106" t="str">
        <f>IF(admissions[[#This Row],[dischtime]]&lt;admissions[[#This Row],[admittime]], "ERROR: discharge before admit", "OK")</f>
        <v>OK</v>
      </c>
      <c r="L106" t="str">
        <f>_xlfn.XLOOKUP(admissions[[#This Row],[neuro_flag]], flag_lookup[flag_value], flag_lookup[flag_label])</f>
        <v>General ICU</v>
      </c>
    </row>
    <row r="107" spans="1:12" x14ac:dyDescent="0.2">
      <c r="A107">
        <v>178513</v>
      </c>
      <c r="B107">
        <v>42199</v>
      </c>
      <c r="C107" t="s">
        <v>9</v>
      </c>
      <c r="D107">
        <v>72</v>
      </c>
      <c r="E107" s="1">
        <v>79339.538194444438</v>
      </c>
      <c r="F107" s="1">
        <v>79349.506944444438</v>
      </c>
      <c r="G107">
        <v>0</v>
      </c>
      <c r="H107">
        <v>5.4263000000000003</v>
      </c>
      <c r="I107">
        <v>0</v>
      </c>
      <c r="J107" t="str">
        <f>IF(admissions[[#This Row],[age_at_admission]]&gt;100,"89+ (obscured)", "actual")</f>
        <v>actual</v>
      </c>
      <c r="K107" t="str">
        <f>IF(admissions[[#This Row],[dischtime]]&lt;admissions[[#This Row],[admittime]], "ERROR: discharge before admit", "OK")</f>
        <v>OK</v>
      </c>
      <c r="L107" t="str">
        <f>_xlfn.XLOOKUP(admissions[[#This Row],[neuro_flag]], flag_lookup[flag_value], flag_lookup[flag_label])</f>
        <v>General ICU</v>
      </c>
    </row>
    <row r="108" spans="1:12" x14ac:dyDescent="0.2">
      <c r="A108">
        <v>179418</v>
      </c>
      <c r="B108">
        <v>41976</v>
      </c>
      <c r="C108" t="s">
        <v>10</v>
      </c>
      <c r="D108">
        <v>65</v>
      </c>
      <c r="E108" s="1">
        <v>110304.80486111112</v>
      </c>
      <c r="F108" s="1">
        <v>110307.74652777778</v>
      </c>
      <c r="G108">
        <v>0</v>
      </c>
      <c r="H108">
        <v>0.75690000000000002</v>
      </c>
      <c r="I108">
        <v>0</v>
      </c>
      <c r="J108" t="str">
        <f>IF(admissions[[#This Row],[age_at_admission]]&gt;100,"89+ (obscured)", "actual")</f>
        <v>actual</v>
      </c>
      <c r="K108" t="str">
        <f>IF(admissions[[#This Row],[dischtime]]&lt;admissions[[#This Row],[admittime]], "ERROR: discharge before admit", "OK")</f>
        <v>OK</v>
      </c>
      <c r="L108" t="str">
        <f>_xlfn.XLOOKUP(admissions[[#This Row],[neuro_flag]], flag_lookup[flag_value], flag_lookup[flag_label])</f>
        <v>General ICU</v>
      </c>
    </row>
    <row r="109" spans="1:12" x14ac:dyDescent="0.2">
      <c r="A109">
        <v>180391</v>
      </c>
      <c r="B109">
        <v>42346</v>
      </c>
      <c r="C109" t="s">
        <v>9</v>
      </c>
      <c r="D109">
        <v>88</v>
      </c>
      <c r="E109" s="1">
        <v>95315.57430555555</v>
      </c>
      <c r="F109" s="1">
        <v>95320.645833333328</v>
      </c>
      <c r="G109">
        <v>0</v>
      </c>
      <c r="H109">
        <v>0.95379999999999998</v>
      </c>
      <c r="I109">
        <v>0</v>
      </c>
      <c r="J109" t="str">
        <f>IF(admissions[[#This Row],[age_at_admission]]&gt;100,"89+ (obscured)", "actual")</f>
        <v>actual</v>
      </c>
      <c r="K109" t="str">
        <f>IF(admissions[[#This Row],[dischtime]]&lt;admissions[[#This Row],[admittime]], "ERROR: discharge before admit", "OK")</f>
        <v>OK</v>
      </c>
      <c r="L109" t="str">
        <f>_xlfn.XLOOKUP(admissions[[#This Row],[neuro_flag]], flag_lookup[flag_value], flag_lookup[flag_label])</f>
        <v>General ICU</v>
      </c>
    </row>
    <row r="110" spans="1:12" x14ac:dyDescent="0.2">
      <c r="A110">
        <v>180546</v>
      </c>
      <c r="B110">
        <v>41976</v>
      </c>
      <c r="C110" t="s">
        <v>10</v>
      </c>
      <c r="D110">
        <v>64</v>
      </c>
      <c r="E110" s="1">
        <v>110071.45069444444</v>
      </c>
      <c r="F110" s="1">
        <v>110078.58611111112</v>
      </c>
      <c r="G110">
        <v>0</v>
      </c>
      <c r="H110">
        <v>1.3351999999999999</v>
      </c>
      <c r="I110">
        <v>0</v>
      </c>
      <c r="J110" t="str">
        <f>IF(admissions[[#This Row],[age_at_admission]]&gt;100,"89+ (obscured)", "actual")</f>
        <v>actual</v>
      </c>
      <c r="K110" t="str">
        <f>IF(admissions[[#This Row],[dischtime]]&lt;admissions[[#This Row],[admittime]], "ERROR: discharge before admit", "OK")</f>
        <v>OK</v>
      </c>
      <c r="L110" t="str">
        <f>_xlfn.XLOOKUP(admissions[[#This Row],[neuro_flag]], flag_lookup[flag_value], flag_lookup[flag_label])</f>
        <v>General ICU</v>
      </c>
    </row>
    <row r="111" spans="1:12" x14ac:dyDescent="0.2">
      <c r="A111">
        <v>180685</v>
      </c>
      <c r="B111">
        <v>10098</v>
      </c>
      <c r="C111" t="s">
        <v>9</v>
      </c>
      <c r="D111">
        <v>19</v>
      </c>
      <c r="E111" s="1">
        <v>98953.975000000006</v>
      </c>
      <c r="F111" s="1">
        <v>98954.663194444438</v>
      </c>
      <c r="G111">
        <v>1</v>
      </c>
      <c r="H111">
        <v>0.76019999999999999</v>
      </c>
      <c r="I111">
        <v>0</v>
      </c>
      <c r="J111" t="str">
        <f>IF(admissions[[#This Row],[age_at_admission]]&gt;100,"89+ (obscured)", "actual")</f>
        <v>actual</v>
      </c>
      <c r="K111" t="str">
        <f>IF(admissions[[#This Row],[dischtime]]&lt;admissions[[#This Row],[admittime]], "ERROR: discharge before admit", "OK")</f>
        <v>OK</v>
      </c>
      <c r="L111" t="str">
        <f>_xlfn.XLOOKUP(admissions[[#This Row],[neuro_flag]], flag_lookup[flag_value], flag_lookup[flag_label])</f>
        <v>General ICU</v>
      </c>
    </row>
    <row r="112" spans="1:12" x14ac:dyDescent="0.2">
      <c r="A112">
        <v>182664</v>
      </c>
      <c r="B112">
        <v>10124</v>
      </c>
      <c r="C112" t="s">
        <v>9</v>
      </c>
      <c r="D112">
        <v>83</v>
      </c>
      <c r="E112" s="1">
        <v>106738.64583333333</v>
      </c>
      <c r="F112" s="1">
        <v>106748.59791666667</v>
      </c>
      <c r="G112">
        <v>0</v>
      </c>
      <c r="H112">
        <v>2.8258000000000001</v>
      </c>
      <c r="I112">
        <v>0</v>
      </c>
      <c r="J112" t="str">
        <f>IF(admissions[[#This Row],[age_at_admission]]&gt;100,"89+ (obscured)", "actual")</f>
        <v>actual</v>
      </c>
      <c r="K112" t="str">
        <f>IF(admissions[[#This Row],[dischtime]]&lt;admissions[[#This Row],[admittime]], "ERROR: discharge before admit", "OK")</f>
        <v>OK</v>
      </c>
      <c r="L112" t="str">
        <f>_xlfn.XLOOKUP(admissions[[#This Row],[neuro_flag]], flag_lookup[flag_value], flag_lookup[flag_label])</f>
        <v>General ICU</v>
      </c>
    </row>
    <row r="113" spans="1:12" x14ac:dyDescent="0.2">
      <c r="A113">
        <v>182839</v>
      </c>
      <c r="B113">
        <v>10127</v>
      </c>
      <c r="C113" t="s">
        <v>9</v>
      </c>
      <c r="D113">
        <v>17</v>
      </c>
      <c r="E113" s="1">
        <v>109023.23194444444</v>
      </c>
      <c r="F113" s="1">
        <v>109045.62222222223</v>
      </c>
      <c r="G113">
        <v>0</v>
      </c>
      <c r="H113">
        <v>22.389500000000002</v>
      </c>
      <c r="I113">
        <v>0</v>
      </c>
      <c r="J113" t="str">
        <f>IF(admissions[[#This Row],[age_at_admission]]&gt;100,"89+ (obscured)", "actual")</f>
        <v>actual</v>
      </c>
      <c r="K113" t="str">
        <f>IF(admissions[[#This Row],[dischtime]]&lt;admissions[[#This Row],[admittime]], "ERROR: discharge before admit", "OK")</f>
        <v>OK</v>
      </c>
      <c r="L113" t="str">
        <f>_xlfn.XLOOKUP(admissions[[#This Row],[neuro_flag]], flag_lookup[flag_value], flag_lookup[flag_label])</f>
        <v>General ICU</v>
      </c>
    </row>
    <row r="114" spans="1:12" x14ac:dyDescent="0.2">
      <c r="A114">
        <v>182879</v>
      </c>
      <c r="B114">
        <v>40601</v>
      </c>
      <c r="C114" t="s">
        <v>9</v>
      </c>
      <c r="D114">
        <v>72</v>
      </c>
      <c r="E114" s="1">
        <v>103947.23888888888</v>
      </c>
      <c r="F114" s="1">
        <v>103953.64583333333</v>
      </c>
      <c r="G114">
        <v>0</v>
      </c>
      <c r="H114">
        <v>2.4872000000000001</v>
      </c>
      <c r="I114">
        <v>0</v>
      </c>
      <c r="J114" t="str">
        <f>IF(admissions[[#This Row],[age_at_admission]]&gt;100,"89+ (obscured)", "actual")</f>
        <v>actual</v>
      </c>
      <c r="K114" t="str">
        <f>IF(admissions[[#This Row],[dischtime]]&lt;admissions[[#This Row],[admittime]], "ERROR: discharge before admit", "OK")</f>
        <v>OK</v>
      </c>
      <c r="L114" t="str">
        <f>_xlfn.XLOOKUP(admissions[[#This Row],[neuro_flag]], flag_lookup[flag_value], flag_lookup[flag_label])</f>
        <v>General ICU</v>
      </c>
    </row>
    <row r="115" spans="1:12" x14ac:dyDescent="0.2">
      <c r="A115">
        <v>183314</v>
      </c>
      <c r="B115">
        <v>10065</v>
      </c>
      <c r="C115" t="s">
        <v>9</v>
      </c>
      <c r="D115">
        <v>78</v>
      </c>
      <c r="E115" s="1">
        <v>105808.30208333333</v>
      </c>
      <c r="F115" s="1">
        <v>105820.58333333333</v>
      </c>
      <c r="G115">
        <v>0</v>
      </c>
      <c r="H115">
        <v>2.2559</v>
      </c>
      <c r="I115">
        <v>0</v>
      </c>
      <c r="J115" t="str">
        <f>IF(admissions[[#This Row],[age_at_admission]]&gt;100,"89+ (obscured)", "actual")</f>
        <v>actual</v>
      </c>
      <c r="K115" t="str">
        <f>IF(admissions[[#This Row],[dischtime]]&lt;admissions[[#This Row],[admittime]], "ERROR: discharge before admit", "OK")</f>
        <v>OK</v>
      </c>
      <c r="L115" t="str">
        <f>_xlfn.XLOOKUP(admissions[[#This Row],[neuro_flag]], flag_lookup[flag_value], flag_lookup[flag_label])</f>
        <v>General ICU</v>
      </c>
    </row>
    <row r="116" spans="1:12" x14ac:dyDescent="0.2">
      <c r="A116">
        <v>186071</v>
      </c>
      <c r="B116">
        <v>43779</v>
      </c>
      <c r="C116" t="s">
        <v>10</v>
      </c>
      <c r="D116">
        <v>76</v>
      </c>
      <c r="E116" s="1">
        <v>100044.91388888888</v>
      </c>
      <c r="F116" s="1">
        <v>100047.65972222222</v>
      </c>
      <c r="G116">
        <v>0</v>
      </c>
      <c r="H116">
        <v>0.74370000000000003</v>
      </c>
      <c r="I116">
        <v>0</v>
      </c>
      <c r="J116" t="str">
        <f>IF(admissions[[#This Row],[age_at_admission]]&gt;100,"89+ (obscured)", "actual")</f>
        <v>actual</v>
      </c>
      <c r="K116" t="str">
        <f>IF(admissions[[#This Row],[dischtime]]&lt;admissions[[#This Row],[admittime]], "ERROR: discharge before admit", "OK")</f>
        <v>OK</v>
      </c>
      <c r="L116" t="str">
        <f>_xlfn.XLOOKUP(admissions[[#This Row],[neuro_flag]], flag_lookup[flag_value], flag_lookup[flag_label])</f>
        <v>General ICU</v>
      </c>
    </row>
    <row r="117" spans="1:12" x14ac:dyDescent="0.2">
      <c r="A117">
        <v>186361</v>
      </c>
      <c r="B117">
        <v>40310</v>
      </c>
      <c r="C117" t="s">
        <v>10</v>
      </c>
      <c r="D117">
        <v>40</v>
      </c>
      <c r="E117" s="1">
        <v>89313.626388888893</v>
      </c>
      <c r="F117" s="1">
        <v>89437.611111111109</v>
      </c>
      <c r="G117">
        <v>0</v>
      </c>
      <c r="H117">
        <v>19.5761</v>
      </c>
      <c r="I117">
        <v>0</v>
      </c>
      <c r="J117" t="str">
        <f>IF(admissions[[#This Row],[age_at_admission]]&gt;100,"89+ (obscured)", "actual")</f>
        <v>actual</v>
      </c>
      <c r="K117" t="str">
        <f>IF(admissions[[#This Row],[dischtime]]&lt;admissions[[#This Row],[admittime]], "ERROR: discharge before admit", "OK")</f>
        <v>OK</v>
      </c>
      <c r="L117" t="str">
        <f>_xlfn.XLOOKUP(admissions[[#This Row],[neuro_flag]], flag_lookup[flag_value], flag_lookup[flag_label])</f>
        <v>General ICU</v>
      </c>
    </row>
    <row r="118" spans="1:12" x14ac:dyDescent="0.2">
      <c r="A118">
        <v>187023</v>
      </c>
      <c r="B118">
        <v>10117</v>
      </c>
      <c r="C118" t="s">
        <v>9</v>
      </c>
      <c r="D118">
        <v>66</v>
      </c>
      <c r="E118" s="1">
        <v>87085.724305555559</v>
      </c>
      <c r="F118" s="1">
        <v>87091.427777777775</v>
      </c>
      <c r="G118">
        <v>0</v>
      </c>
      <c r="H118">
        <v>1.7861</v>
      </c>
      <c r="I118">
        <v>0</v>
      </c>
      <c r="J118" t="str">
        <f>IF(admissions[[#This Row],[age_at_admission]]&gt;100,"89+ (obscured)", "actual")</f>
        <v>actual</v>
      </c>
      <c r="K118" t="str">
        <f>IF(admissions[[#This Row],[dischtime]]&lt;admissions[[#This Row],[admittime]], "ERROR: discharge before admit", "OK")</f>
        <v>OK</v>
      </c>
      <c r="L118" t="str">
        <f>_xlfn.XLOOKUP(admissions[[#This Row],[neuro_flag]], flag_lookup[flag_value], flag_lookup[flag_label])</f>
        <v>General ICU</v>
      </c>
    </row>
    <row r="119" spans="1:12" x14ac:dyDescent="0.2">
      <c r="A119">
        <v>188574</v>
      </c>
      <c r="B119">
        <v>10112</v>
      </c>
      <c r="C119" t="s">
        <v>9</v>
      </c>
      <c r="D119">
        <v>78</v>
      </c>
      <c r="E119" s="1">
        <v>90594.938888888893</v>
      </c>
      <c r="F119" s="1">
        <v>90600.62708333334</v>
      </c>
      <c r="G119">
        <v>1</v>
      </c>
      <c r="H119">
        <v>5.6856999999999998</v>
      </c>
      <c r="I119">
        <v>0</v>
      </c>
      <c r="J119" t="str">
        <f>IF(admissions[[#This Row],[age_at_admission]]&gt;100,"89+ (obscured)", "actual")</f>
        <v>actual</v>
      </c>
      <c r="K119" t="str">
        <f>IF(admissions[[#This Row],[dischtime]]&lt;admissions[[#This Row],[admittime]], "ERROR: discharge before admit", "OK")</f>
        <v>OK</v>
      </c>
      <c r="L119" t="str">
        <f>_xlfn.XLOOKUP(admissions[[#This Row],[neuro_flag]], flag_lookup[flag_value], flag_lookup[flag_label])</f>
        <v>General ICU</v>
      </c>
    </row>
    <row r="120" spans="1:12" x14ac:dyDescent="0.2">
      <c r="A120">
        <v>189483</v>
      </c>
      <c r="B120">
        <v>10036</v>
      </c>
      <c r="C120" t="s">
        <v>9</v>
      </c>
      <c r="D120">
        <v>299</v>
      </c>
      <c r="E120" s="1">
        <v>104179.70555555556</v>
      </c>
      <c r="F120" s="1">
        <v>104181.38541666667</v>
      </c>
      <c r="G120">
        <v>1</v>
      </c>
      <c r="H120">
        <v>1.8068</v>
      </c>
      <c r="I120">
        <v>1</v>
      </c>
      <c r="J120" t="str">
        <f>IF(admissions[[#This Row],[age_at_admission]]&gt;100,"89+ (obscured)", "actual")</f>
        <v>89+ (obscured)</v>
      </c>
      <c r="K120" t="str">
        <f>IF(admissions[[#This Row],[dischtime]]&lt;admissions[[#This Row],[admittime]], "ERROR: discharge before admit", "OK")</f>
        <v>OK</v>
      </c>
      <c r="L120" t="str">
        <f>_xlfn.XLOOKUP(admissions[[#This Row],[neuro_flag]], flag_lookup[flag_value], flag_lookup[flag_label])</f>
        <v>Neuro Cohort</v>
      </c>
    </row>
    <row r="121" spans="1:12" x14ac:dyDescent="0.2">
      <c r="A121">
        <v>190301</v>
      </c>
      <c r="B121">
        <v>10089</v>
      </c>
      <c r="C121" t="s">
        <v>10</v>
      </c>
      <c r="D121">
        <v>86</v>
      </c>
      <c r="E121" s="1">
        <v>84955.78333333334</v>
      </c>
      <c r="F121" s="1">
        <v>84958.09375</v>
      </c>
      <c r="G121">
        <v>1</v>
      </c>
      <c r="H121">
        <v>2.4710000000000001</v>
      </c>
      <c r="I121">
        <v>0</v>
      </c>
      <c r="J121" t="str">
        <f>IF(admissions[[#This Row],[age_at_admission]]&gt;100,"89+ (obscured)", "actual")</f>
        <v>actual</v>
      </c>
      <c r="K121" t="str">
        <f>IF(admissions[[#This Row],[dischtime]]&lt;admissions[[#This Row],[admittime]], "ERROR: discharge before admit", "OK")</f>
        <v>OK</v>
      </c>
      <c r="L121" t="str">
        <f>_xlfn.XLOOKUP(admissions[[#This Row],[neuro_flag]], flag_lookup[flag_value], flag_lookup[flag_label])</f>
        <v>General ICU</v>
      </c>
    </row>
    <row r="122" spans="1:12" x14ac:dyDescent="0.2">
      <c r="A122">
        <v>192189</v>
      </c>
      <c r="B122">
        <v>44222</v>
      </c>
      <c r="C122" t="s">
        <v>10</v>
      </c>
      <c r="D122">
        <v>73</v>
      </c>
      <c r="E122" s="1">
        <v>102470.28819444444</v>
      </c>
      <c r="F122" s="1">
        <v>102471.54166666667</v>
      </c>
      <c r="G122">
        <v>0</v>
      </c>
      <c r="H122">
        <v>1.3279000000000001</v>
      </c>
      <c r="I122">
        <v>0</v>
      </c>
      <c r="J122" t="str">
        <f>IF(admissions[[#This Row],[age_at_admission]]&gt;100,"89+ (obscured)", "actual")</f>
        <v>actual</v>
      </c>
      <c r="K122" t="str">
        <f>IF(admissions[[#This Row],[dischtime]]&lt;admissions[[#This Row],[admittime]], "ERROR: discharge before admit", "OK")</f>
        <v>OK</v>
      </c>
      <c r="L122" t="str">
        <f>_xlfn.XLOOKUP(admissions[[#This Row],[neuro_flag]], flag_lookup[flag_value], flag_lookup[flag_label])</f>
        <v>General ICU</v>
      </c>
    </row>
    <row r="123" spans="1:12" x14ac:dyDescent="0.2">
      <c r="A123">
        <v>193924</v>
      </c>
      <c r="B123">
        <v>10120</v>
      </c>
      <c r="C123" t="s">
        <v>10</v>
      </c>
      <c r="D123">
        <v>27</v>
      </c>
      <c r="E123" s="1">
        <v>78660.619444444441</v>
      </c>
      <c r="F123" s="1">
        <v>78663.09375</v>
      </c>
      <c r="G123">
        <v>1</v>
      </c>
      <c r="H123">
        <v>2.6465000000000001</v>
      </c>
      <c r="I123">
        <v>0</v>
      </c>
      <c r="J123" t="str">
        <f>IF(admissions[[#This Row],[age_at_admission]]&gt;100,"89+ (obscured)", "actual")</f>
        <v>actual</v>
      </c>
      <c r="K123" t="str">
        <f>IF(admissions[[#This Row],[dischtime]]&lt;admissions[[#This Row],[admittime]], "ERROR: discharge before admit", "OK")</f>
        <v>OK</v>
      </c>
      <c r="L123" t="str">
        <f>_xlfn.XLOOKUP(admissions[[#This Row],[neuro_flag]], flag_lookup[flag_value], flag_lookup[flag_label])</f>
        <v>General ICU</v>
      </c>
    </row>
    <row r="124" spans="1:12" x14ac:dyDescent="0.2">
      <c r="A124">
        <v>195911</v>
      </c>
      <c r="B124">
        <v>42281</v>
      </c>
      <c r="C124" t="s">
        <v>9</v>
      </c>
      <c r="D124">
        <v>68</v>
      </c>
      <c r="E124" s="1">
        <v>80279.248611111107</v>
      </c>
      <c r="F124" s="1">
        <v>80307.395833333328</v>
      </c>
      <c r="G124">
        <v>1</v>
      </c>
      <c r="H124">
        <v>18.8324</v>
      </c>
      <c r="I124">
        <v>0</v>
      </c>
      <c r="J124" t="str">
        <f>IF(admissions[[#This Row],[age_at_admission]]&gt;100,"89+ (obscured)", "actual")</f>
        <v>actual</v>
      </c>
      <c r="K124" t="str">
        <f>IF(admissions[[#This Row],[dischtime]]&lt;admissions[[#This Row],[admittime]], "ERROR: discharge before admit", "OK")</f>
        <v>OK</v>
      </c>
      <c r="L124" t="str">
        <f>_xlfn.XLOOKUP(admissions[[#This Row],[neuro_flag]], flag_lookup[flag_value], flag_lookup[flag_label])</f>
        <v>General ICU</v>
      </c>
    </row>
    <row r="125" spans="1:12" x14ac:dyDescent="0.2">
      <c r="A125">
        <v>197611</v>
      </c>
      <c r="B125">
        <v>10132</v>
      </c>
      <c r="C125" t="s">
        <v>9</v>
      </c>
      <c r="D125">
        <v>65</v>
      </c>
      <c r="E125" s="1">
        <v>81685.833333333328</v>
      </c>
      <c r="F125" s="1">
        <v>81710.583333333328</v>
      </c>
      <c r="G125">
        <v>0</v>
      </c>
      <c r="H125">
        <v>0.79730000000000001</v>
      </c>
      <c r="I125">
        <v>0</v>
      </c>
      <c r="J125" t="str">
        <f>IF(admissions[[#This Row],[age_at_admission]]&gt;100,"89+ (obscured)", "actual")</f>
        <v>actual</v>
      </c>
      <c r="K125" t="str">
        <f>IF(admissions[[#This Row],[dischtime]]&lt;admissions[[#This Row],[admittime]], "ERROR: discharge before admit", "OK")</f>
        <v>OK</v>
      </c>
      <c r="L125" t="str">
        <f>_xlfn.XLOOKUP(admissions[[#This Row],[neuro_flag]], flag_lookup[flag_value], flag_lookup[flag_label])</f>
        <v>General ICU</v>
      </c>
    </row>
    <row r="126" spans="1:12" x14ac:dyDescent="0.2">
      <c r="A126">
        <v>198330</v>
      </c>
      <c r="B126">
        <v>44083</v>
      </c>
      <c r="C126" t="s">
        <v>10</v>
      </c>
      <c r="D126">
        <v>54</v>
      </c>
      <c r="E126" s="1">
        <v>77581.65625</v>
      </c>
      <c r="F126" s="1">
        <v>77591.701388888891</v>
      </c>
      <c r="G126">
        <v>0</v>
      </c>
      <c r="H126">
        <v>3.6173999999999999</v>
      </c>
      <c r="I126">
        <v>0</v>
      </c>
      <c r="J126" t="str">
        <f>IF(admissions[[#This Row],[age_at_admission]]&gt;100,"89+ (obscured)", "actual")</f>
        <v>actual</v>
      </c>
      <c r="K126" t="str">
        <f>IF(admissions[[#This Row],[dischtime]]&lt;admissions[[#This Row],[admittime]], "ERROR: discharge before admit", "OK")</f>
        <v>OK</v>
      </c>
      <c r="L126" t="str">
        <f>_xlfn.XLOOKUP(admissions[[#This Row],[neuro_flag]], flag_lookup[flag_value], flag_lookup[flag_label])</f>
        <v>General ICU</v>
      </c>
    </row>
    <row r="127" spans="1:12" x14ac:dyDescent="0.2">
      <c r="A127">
        <v>198480</v>
      </c>
      <c r="B127">
        <v>40177</v>
      </c>
      <c r="C127" t="s">
        <v>10</v>
      </c>
      <c r="D127">
        <v>86</v>
      </c>
      <c r="E127" s="1">
        <v>98378.969444444447</v>
      </c>
      <c r="F127" s="1">
        <v>98384.370833333334</v>
      </c>
      <c r="G127">
        <v>1</v>
      </c>
      <c r="H127">
        <v>1.7292000000000001</v>
      </c>
      <c r="I127">
        <v>0</v>
      </c>
      <c r="J127" t="str">
        <f>IF(admissions[[#This Row],[age_at_admission]]&gt;100,"89+ (obscured)", "actual")</f>
        <v>actual</v>
      </c>
      <c r="K127" t="str">
        <f>IF(admissions[[#This Row],[dischtime]]&lt;admissions[[#This Row],[admittime]], "ERROR: discharge before admit", "OK")</f>
        <v>OK</v>
      </c>
      <c r="L127" t="str">
        <f>_xlfn.XLOOKUP(admissions[[#This Row],[neuro_flag]], flag_lookup[flag_value], flag_lookup[flag_label])</f>
        <v>General ICU</v>
      </c>
    </row>
    <row r="128" spans="1:12" x14ac:dyDescent="0.2">
      <c r="A128">
        <v>198503</v>
      </c>
      <c r="B128">
        <v>10076</v>
      </c>
      <c r="C128" t="s">
        <v>10</v>
      </c>
      <c r="D128">
        <v>68</v>
      </c>
      <c r="E128" s="1">
        <v>75686.886111111118</v>
      </c>
      <c r="F128" s="1">
        <v>75695.5</v>
      </c>
      <c r="G128">
        <v>1</v>
      </c>
      <c r="H128">
        <v>7.1173000000000002</v>
      </c>
      <c r="I128">
        <v>0</v>
      </c>
      <c r="J128" t="str">
        <f>IF(admissions[[#This Row],[age_at_admission]]&gt;100,"89+ (obscured)", "actual")</f>
        <v>actual</v>
      </c>
      <c r="K128" t="str">
        <f>IF(admissions[[#This Row],[dischtime]]&lt;admissions[[#This Row],[admittime]], "ERROR: discharge before admit", "OK")</f>
        <v>OK</v>
      </c>
      <c r="L128" t="str">
        <f>_xlfn.XLOOKUP(admissions[[#This Row],[neuro_flag]], flag_lookup[flag_value], flag_lookup[flag_label])</f>
        <v>General ICU</v>
      </c>
    </row>
    <row r="129" spans="1:12" x14ac:dyDescent="0.2">
      <c r="A129">
        <v>199207</v>
      </c>
      <c r="B129">
        <v>10017</v>
      </c>
      <c r="C129" t="s">
        <v>9</v>
      </c>
      <c r="D129">
        <v>73</v>
      </c>
      <c r="E129" s="1">
        <v>91093.721527777772</v>
      </c>
      <c r="F129" s="1">
        <v>91101.77916666666</v>
      </c>
      <c r="G129">
        <v>0</v>
      </c>
      <c r="H129">
        <v>2.1436000000000002</v>
      </c>
      <c r="I129">
        <v>0</v>
      </c>
      <c r="J129" t="str">
        <f>IF(admissions[[#This Row],[age_at_admission]]&gt;100,"89+ (obscured)", "actual")</f>
        <v>actual</v>
      </c>
      <c r="K129" t="str">
        <f>IF(admissions[[#This Row],[dischtime]]&lt;admissions[[#This Row],[admittime]], "ERROR: discharge before admit", "OK")</f>
        <v>OK</v>
      </c>
      <c r="L129" t="str">
        <f>_xlfn.XLOOKUP(admissions[[#This Row],[neuro_flag]], flag_lookup[flag_value], flag_lookup[flag_label])</f>
        <v>General ICU</v>
      </c>
    </row>
    <row r="130" spans="1:12" x14ac:dyDescent="0.2">
      <c r="A130">
        <v>199395</v>
      </c>
      <c r="B130">
        <v>10027</v>
      </c>
      <c r="C130" t="s">
        <v>9</v>
      </c>
      <c r="D130">
        <v>82</v>
      </c>
      <c r="E130" s="1">
        <v>106116.30208333333</v>
      </c>
      <c r="F130" s="1">
        <v>106128.58333333333</v>
      </c>
      <c r="G130">
        <v>0</v>
      </c>
      <c r="H130">
        <v>7.2615999999999996</v>
      </c>
      <c r="I130">
        <v>0</v>
      </c>
      <c r="J130" t="str">
        <f>IF(admissions[[#This Row],[age_at_admission]]&gt;100,"89+ (obscured)", "actual")</f>
        <v>actual</v>
      </c>
      <c r="K130" t="str">
        <f>IF(admissions[[#This Row],[dischtime]]&lt;admissions[[#This Row],[admittime]], "ERROR: discharge before admit", "OK")</f>
        <v>OK</v>
      </c>
      <c r="L130" t="str">
        <f>_xlfn.XLOOKUP(admissions[[#This Row],[neuro_flag]], flag_lookup[flag_value], flag_lookup[flag_label])</f>
        <v>General ICU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5152-5153-8F45-8E53-EA1E9AC354D6}">
  <dimension ref="A1:E11"/>
  <sheetViews>
    <sheetView workbookViewId="0">
      <selection activeCell="A8" sqref="A8"/>
    </sheetView>
  </sheetViews>
  <sheetFormatPr baseColWidth="10" defaultRowHeight="16" x14ac:dyDescent="0.2"/>
  <cols>
    <col min="1" max="1" width="28.5" customWidth="1"/>
  </cols>
  <sheetData>
    <row r="1" spans="1:5" x14ac:dyDescent="0.2">
      <c r="A1" t="s">
        <v>11</v>
      </c>
      <c r="B1" t="s">
        <v>12</v>
      </c>
    </row>
    <row r="2" spans="1:5" x14ac:dyDescent="0.2">
      <c r="A2" t="s">
        <v>13</v>
      </c>
      <c r="B2">
        <f>COUNTIF(admissions[total_los], "&lt;0")</f>
        <v>0</v>
      </c>
    </row>
    <row r="3" spans="1:5" x14ac:dyDescent="0.2">
      <c r="A3" t="s">
        <v>14</v>
      </c>
      <c r="B3">
        <f>COUNTIF(admissions[age_at_admission], "&lt;0")</f>
        <v>0</v>
      </c>
    </row>
    <row r="4" spans="1:5" x14ac:dyDescent="0.2">
      <c r="A4" t="s">
        <v>16</v>
      </c>
      <c r="B4" s="6">
        <f>COUNTIF(admissions[age_at_admission], "&gt;100")</f>
        <v>10</v>
      </c>
    </row>
    <row r="5" spans="1:5" x14ac:dyDescent="0.2">
      <c r="A5" t="s">
        <v>15</v>
      </c>
      <c r="B5" s="6">
        <f>MAX(admissions[age_at_admission])</f>
        <v>300</v>
      </c>
    </row>
    <row r="6" spans="1:5" x14ac:dyDescent="0.2">
      <c r="A6" t="s">
        <v>18</v>
      </c>
      <c r="B6" s="6">
        <f>COUNTIF(admissions[age_note], "89+ (obscured)")</f>
        <v>10</v>
      </c>
    </row>
    <row r="7" spans="1:5" x14ac:dyDescent="0.2">
      <c r="A7" t="s">
        <v>22</v>
      </c>
      <c r="B7">
        <f>COUNTIF(admissions[date_check], "ERROR: discharge before admit")</f>
        <v>0</v>
      </c>
    </row>
    <row r="8" spans="1:5" x14ac:dyDescent="0.2">
      <c r="A8" t="s">
        <v>24</v>
      </c>
      <c r="B8" cm="1">
        <f t="array" ref="B8">COUNTA(admissions[hadm_id])-SUMPRODUCT(1/COUNTIF(admissions[hadm_id],admissions[hadm_id]))</f>
        <v>0</v>
      </c>
    </row>
    <row r="9" spans="1:5" x14ac:dyDescent="0.2">
      <c r="A9" t="s">
        <v>25</v>
      </c>
      <c r="B9">
        <f>COUNTBLANK(admissions[age_at_admission])</f>
        <v>0</v>
      </c>
      <c r="E9" s="6"/>
    </row>
    <row r="10" spans="1:5" x14ac:dyDescent="0.2">
      <c r="A10" t="s">
        <v>26</v>
      </c>
      <c r="B10">
        <f>COUNTBLANK(admissions[total_los])</f>
        <v>0</v>
      </c>
    </row>
    <row r="11" spans="1:5" x14ac:dyDescent="0.2">
      <c r="A11" t="s">
        <v>27</v>
      </c>
      <c r="B11">
        <f>COUNTBLANK(admissions[gender])</f>
        <v>0</v>
      </c>
    </row>
  </sheetData>
  <conditionalFormatting sqref="A1:B11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D49F-B661-0F4C-87F7-313AE83AB9CE}">
  <dimension ref="A3:B10"/>
  <sheetViews>
    <sheetView workbookViewId="0">
      <selection activeCell="Q16" sqref="Q16"/>
    </sheetView>
  </sheetViews>
  <sheetFormatPr baseColWidth="10" defaultRowHeight="16" x14ac:dyDescent="0.2"/>
  <cols>
    <col min="1" max="1" width="13" bestFit="1" customWidth="1"/>
    <col min="2" max="2" width="17.5" bestFit="1" customWidth="1"/>
  </cols>
  <sheetData>
    <row r="3" spans="1:2" x14ac:dyDescent="0.2">
      <c r="A3" s="2" t="s">
        <v>19</v>
      </c>
      <c r="B3" t="s">
        <v>21</v>
      </c>
    </row>
    <row r="4" spans="1:2" x14ac:dyDescent="0.2">
      <c r="A4" s="3">
        <v>0</v>
      </c>
      <c r="B4" s="5">
        <v>4.5354099999999997</v>
      </c>
    </row>
    <row r="5" spans="1:2" x14ac:dyDescent="0.2">
      <c r="A5" s="4" t="s">
        <v>9</v>
      </c>
      <c r="B5" s="5">
        <v>5.5937150943396228</v>
      </c>
    </row>
    <row r="6" spans="1:2" x14ac:dyDescent="0.2">
      <c r="A6" s="4" t="s">
        <v>10</v>
      </c>
      <c r="B6" s="5">
        <v>3.6982432835820878</v>
      </c>
    </row>
    <row r="7" spans="1:2" x14ac:dyDescent="0.2">
      <c r="A7" s="3">
        <v>1</v>
      </c>
      <c r="B7" s="5">
        <v>6.8094333333333328</v>
      </c>
    </row>
    <row r="8" spans="1:2" x14ac:dyDescent="0.2">
      <c r="A8" s="4" t="s">
        <v>9</v>
      </c>
      <c r="B8" s="5">
        <v>8.7596000000000007</v>
      </c>
    </row>
    <row r="9" spans="1:2" x14ac:dyDescent="0.2">
      <c r="A9" s="4" t="s">
        <v>10</v>
      </c>
      <c r="B9" s="5">
        <v>2.9091</v>
      </c>
    </row>
    <row r="10" spans="1:2" x14ac:dyDescent="0.2">
      <c r="A10" s="3" t="s">
        <v>20</v>
      </c>
      <c r="B10" s="5">
        <v>4.6940627906976742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D68C-0964-594B-B69C-69FFCADA58A7}">
  <dimension ref="A1:B3"/>
  <sheetViews>
    <sheetView workbookViewId="0">
      <selection activeCell="G24" sqref="G24"/>
    </sheetView>
  </sheetViews>
  <sheetFormatPr baseColWidth="10" defaultRowHeight="16" x14ac:dyDescent="0.2"/>
  <cols>
    <col min="1" max="1" width="11.83203125" customWidth="1"/>
    <col min="2" max="2" width="14.33203125" customWidth="1"/>
  </cols>
  <sheetData>
    <row r="1" spans="1:2" x14ac:dyDescent="0.2">
      <c r="A1" t="s">
        <v>28</v>
      </c>
      <c r="B1" t="s">
        <v>29</v>
      </c>
    </row>
    <row r="2" spans="1:2" x14ac:dyDescent="0.2">
      <c r="A2">
        <v>0</v>
      </c>
      <c r="B2" t="s">
        <v>30</v>
      </c>
    </row>
    <row r="3" spans="1:2" x14ac:dyDescent="0.2">
      <c r="A3">
        <v>1</v>
      </c>
      <c r="B3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admissions</vt:lpstr>
      <vt:lpstr>QC_summary</vt:lpstr>
      <vt:lpstr>LOS by Neuro Flag and Gender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Gambhir, Tanvi</cp:lastModifiedBy>
  <dcterms:created xsi:type="dcterms:W3CDTF">2026-08-06T18:27:05Z</dcterms:created>
  <dcterms:modified xsi:type="dcterms:W3CDTF">2026-08-06T19:13:21Z</dcterms:modified>
</cp:coreProperties>
</file>